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15" windowWidth="22155" windowHeight="13125" activeTab="2"/>
  </bookViews>
  <sheets>
    <sheet name="Instructions" sheetId="4" r:id="rId1"/>
    <sheet name="1- a &amp; b" sheetId="1" r:id="rId2"/>
    <sheet name="1 - c &amp; d" sheetId="2" r:id="rId3"/>
    <sheet name="2" sheetId="3" r:id="rId4"/>
    <sheet name="3" sheetId="5" r:id="rId5"/>
  </sheets>
  <functionGroups builtInGroupCount="17"/>
  <calcPr calcId="145621"/>
</workbook>
</file>

<file path=xl/calcChain.xml><?xml version="1.0" encoding="utf-8"?>
<calcChain xmlns="http://schemas.openxmlformats.org/spreadsheetml/2006/main">
  <c r="I17" i="2" l="1"/>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16" i="2"/>
  <c r="I25" i="3"/>
  <c r="J25" i="3"/>
  <c r="K25" i="3"/>
  <c r="L16" i="3"/>
  <c r="L25" i="3"/>
  <c r="L24" i="3"/>
  <c r="L23" i="3"/>
  <c r="H24" i="3"/>
  <c r="H23" i="3"/>
  <c r="K22" i="3"/>
  <c r="J22" i="3"/>
  <c r="I22" i="3"/>
  <c r="K13" i="3"/>
  <c r="J13" i="3"/>
  <c r="H15" i="3"/>
  <c r="H14" i="3"/>
  <c r="M4" i="3"/>
  <c r="L4" i="3"/>
  <c r="J6" i="3"/>
  <c r="J5" i="3"/>
  <c r="M6" i="2"/>
  <c r="M4" i="2"/>
  <c r="M5" i="2"/>
  <c r="M3" i="2"/>
  <c r="L6" i="2"/>
  <c r="L5" i="2"/>
  <c r="L4" i="2"/>
  <c r="L3" i="2"/>
  <c r="V4" i="1"/>
  <c r="U4" i="1"/>
  <c r="T4" i="1"/>
  <c r="S4" i="1"/>
  <c r="R4" i="1"/>
  <c r="P4" i="1"/>
  <c r="Q4" i="1"/>
  <c r="O4" i="1"/>
  <c r="I15" i="1"/>
  <c r="H31" i="1"/>
  <c r="H19" i="1"/>
  <c r="H20" i="1"/>
  <c r="H21" i="1"/>
  <c r="H22" i="1"/>
  <c r="H23" i="1"/>
  <c r="H24" i="1"/>
  <c r="H25" i="1"/>
  <c r="H26" i="1"/>
  <c r="H27" i="1"/>
  <c r="H28" i="1"/>
  <c r="H29" i="1"/>
  <c r="H30" i="1"/>
  <c r="H18" i="1"/>
  <c r="K4" i="3"/>
  <c r="I13" i="3"/>
</calcChain>
</file>

<file path=xl/sharedStrings.xml><?xml version="1.0" encoding="utf-8"?>
<sst xmlns="http://schemas.openxmlformats.org/spreadsheetml/2006/main" count="470" uniqueCount="109">
  <si>
    <t>Network</t>
  </si>
  <si>
    <t>Arc</t>
  </si>
  <si>
    <t>Cost</t>
  </si>
  <si>
    <t>Predecessor</t>
  </si>
  <si>
    <t>A</t>
  </si>
  <si>
    <t>B</t>
  </si>
  <si>
    <t>C</t>
  </si>
  <si>
    <t>D</t>
  </si>
  <si>
    <t>E</t>
  </si>
  <si>
    <t>F</t>
  </si>
  <si>
    <t>G</t>
  </si>
  <si>
    <t>H</t>
  </si>
  <si>
    <t>I</t>
  </si>
  <si>
    <t>J</t>
  </si>
  <si>
    <t>K</t>
  </si>
  <si>
    <t>L</t>
  </si>
  <si>
    <t>M</t>
  </si>
  <si>
    <t>O1</t>
  </si>
  <si>
    <t>D1</t>
  </si>
  <si>
    <t>D2</t>
  </si>
  <si>
    <t>O2</t>
  </si>
  <si>
    <t>Flow</t>
  </si>
  <si>
    <t>Node</t>
  </si>
  <si>
    <t>Distance</t>
  </si>
  <si>
    <t>Is In Queue</t>
  </si>
  <si>
    <t>V</t>
  </si>
  <si>
    <t>Index</t>
  </si>
  <si>
    <t>Nodes</t>
  </si>
  <si>
    <t>Origin 1</t>
  </si>
  <si>
    <t>Origin 2</t>
  </si>
  <si>
    <t>Choose your O/D</t>
  </si>
  <si>
    <t>Dijkstra's Algorithm</t>
  </si>
  <si>
    <t>Total Travel Time</t>
  </si>
  <si>
    <t>Fixed Cost</t>
  </si>
  <si>
    <t>Variable Cost</t>
  </si>
  <si>
    <t>Final Cost</t>
  </si>
  <si>
    <t>O/D Pair</t>
  </si>
  <si>
    <t>Total travel time</t>
  </si>
  <si>
    <t>Pn = {0.4, 0.3, 0.2, 0.1}</t>
  </si>
  <si>
    <t>Incremental</t>
  </si>
  <si>
    <t>Iterative</t>
  </si>
  <si>
    <t>Choose method</t>
  </si>
  <si>
    <t>φ = 1/n</t>
  </si>
  <si>
    <t>Successive Averages Parameters</t>
  </si>
  <si>
    <t>φ = k</t>
  </si>
  <si>
    <t>k =</t>
  </si>
  <si>
    <t>Stop Criterion</t>
  </si>
  <si>
    <t>Iterations</t>
  </si>
  <si>
    <t>Δ Flows ≤</t>
  </si>
  <si>
    <t>Phi</t>
  </si>
  <si>
    <t>Criterio</t>
  </si>
  <si>
    <t>Origin</t>
  </si>
  <si>
    <t>Trips</t>
  </si>
  <si>
    <t>Trips to be assigned</t>
  </si>
  <si>
    <t>Destination</t>
  </si>
  <si>
    <t>Choose your O/D to get the matrix of travel costs C</t>
  </si>
  <si>
    <t>Matrix C</t>
  </si>
  <si>
    <t>Total</t>
  </si>
  <si>
    <t>Origin Constrained</t>
  </si>
  <si>
    <t>X</t>
  </si>
  <si>
    <t>Veh/hr</t>
  </si>
  <si>
    <t>Use an incremental loading technique (Pn = {0.4, 0.3, 0.2, 0.1} )</t>
  </si>
  <si>
    <r>
      <t xml:space="preserve">a) Define your </t>
    </r>
    <r>
      <rPr>
        <u/>
        <sz val="11"/>
        <color theme="1"/>
        <rFont val="Calibri"/>
        <family val="2"/>
      </rPr>
      <t>φ</t>
    </r>
  </si>
  <si>
    <t>Fixed</t>
  </si>
  <si>
    <t xml:space="preserve">φ    = </t>
  </si>
  <si>
    <t>Variable</t>
  </si>
  <si>
    <t>1/n</t>
  </si>
  <si>
    <t>b) Define your stop criterion</t>
  </si>
  <si>
    <t>Method of Successive Averages</t>
  </si>
  <si>
    <t>Iterations needed to achieve your conditions:</t>
  </si>
  <si>
    <t>Instructions</t>
  </si>
  <si>
    <t>1-.</t>
  </si>
  <si>
    <t>2-.</t>
  </si>
  <si>
    <t>On each exercise follow the instructions given by the numbers</t>
  </si>
  <si>
    <t xml:space="preserve">3-. </t>
  </si>
  <si>
    <t>The following cell styles define the status of the data in the worksheet</t>
  </si>
  <si>
    <t>a)</t>
  </si>
  <si>
    <t>b)</t>
  </si>
  <si>
    <t xml:space="preserve">           ,</t>
  </si>
  <si>
    <t>,   .  .  .</t>
  </si>
  <si>
    <t>c)</t>
  </si>
  <si>
    <t>This type of cells indicate output results from the program</t>
  </si>
  <si>
    <t>d)</t>
  </si>
  <si>
    <t>This type of cells indicate labels or captions of tables</t>
  </si>
  <si>
    <t>4-.</t>
  </si>
  <si>
    <t xml:space="preserve">If you want to start again the problem with different parameters, just click on the </t>
  </si>
  <si>
    <t xml:space="preserve">  button</t>
  </si>
  <si>
    <t>e)</t>
  </si>
  <si>
    <t>Note</t>
  </si>
  <si>
    <t>This type of cells are notes or names of the procedures</t>
  </si>
  <si>
    <t>OD Pairs</t>
  </si>
  <si>
    <t>Choose the algorithm parameters</t>
  </si>
  <si>
    <t>This type of cells are input data provided by the user. It has been filled in with the default values in the text but can be changed</t>
  </si>
  <si>
    <t>Destination 1</t>
  </si>
  <si>
    <t>Destination 2</t>
  </si>
  <si>
    <t>→</t>
  </si>
  <si>
    <t>1º node of the rute</t>
  </si>
  <si>
    <t>2º node of the rute</t>
  </si>
  <si>
    <t>·</t>
  </si>
  <si>
    <t>In the worksheets below we solve the exercises corresponding to Chapter 10 of  Modelling Transport</t>
  </si>
  <si>
    <t>This type of cells represent fixed or referenced information of the problem. You must not change the value inside</t>
  </si>
  <si>
    <t>Choose both your origins and destinations from the network. Dijkstra's algorithm will then calculate the shortest path between those pairs and the optimum rutes will be displayed above</t>
  </si>
  <si>
    <t>Choose your trip matrix. By clicking on the button 'Assign Trips' this matrix will be assigned by an "all or nothing" procedure following the routes calculated above. Then you will see the flow on each arc of the network</t>
  </si>
  <si>
    <t>Routes</t>
  </si>
  <si>
    <t>Set trips: these trips will be assigned to the network to obtain the total flow on each arc</t>
  </si>
  <si>
    <t>For the Succesive Averages method you need to specify the algorithm parameters. On the left you define your phi, it can be variable (1/n) or fixed (equal to k). On the right you choose the stop criterion, it can be either a maximum number of iterations or porcentual variation of the flows. If both of those conditions are checked, then the first one to be achieved will stop the algorithm</t>
  </si>
  <si>
    <t>Run a doubly-constrained gravity model (DCGM) to obtain the trip matrix</t>
  </si>
  <si>
    <t>Run an origin-constrained gravity model (OCGM) to obtain the trip matrix</t>
  </si>
  <si>
    <t>Doubly Constrained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</si>
</sst>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5" x14ac:knownFonts="1">
    <font>
      <sz val="11"/>
      <color theme="1"/>
      <name val="Calibri"/>
      <family val="2"/>
      <scheme val="minor"/>
    </font>
    <font>
      <b/>
      <sz val="11"/>
      <color theme="1"/>
      <name val="Calibri"/>
      <family val="2"/>
      <scheme val="minor"/>
    </font>
    <font>
      <b/>
      <sz val="11"/>
      <color rgb="FF000000"/>
      <name val="Calibri"/>
      <family val="2"/>
    </font>
    <font>
      <sz val="11"/>
      <color theme="1"/>
      <name val="Calibri"/>
      <family val="2"/>
      <scheme val="minor"/>
    </font>
    <font>
      <b/>
      <sz val="11"/>
      <color theme="1"/>
      <name val="Calibri"/>
      <family val="2"/>
    </font>
    <font>
      <u/>
      <sz val="11"/>
      <color theme="1"/>
      <name val="Calibri"/>
      <family val="2"/>
      <scheme val="minor"/>
    </font>
    <font>
      <u/>
      <sz val="11"/>
      <color theme="1"/>
      <name val="Calibri"/>
      <family val="2"/>
    </font>
    <font>
      <sz val="11"/>
      <color rgb="FF006100"/>
      <name val="Calibri"/>
      <family val="2"/>
      <scheme val="minor"/>
    </font>
    <font>
      <b/>
      <sz val="11"/>
      <color rgb="FF3F3F3F"/>
      <name val="Calibri"/>
      <family val="2"/>
      <scheme val="minor"/>
    </font>
    <font>
      <b/>
      <sz val="11"/>
      <color rgb="FFFA7D00"/>
      <name val="Calibri"/>
      <family val="2"/>
      <scheme val="minor"/>
    </font>
    <font>
      <b/>
      <sz val="11"/>
      <color theme="0"/>
      <name val="Calibri"/>
      <family val="2"/>
      <scheme val="minor"/>
    </font>
    <font>
      <b/>
      <sz val="18"/>
      <name val="Calibri"/>
      <family val="2"/>
      <scheme val="minor"/>
    </font>
    <font>
      <sz val="12"/>
      <color theme="1"/>
      <name val="Calibri"/>
      <family val="2"/>
      <scheme val="minor"/>
    </font>
    <font>
      <sz val="11"/>
      <color rgb="FF3F3F3F"/>
      <name val="Calibri"/>
      <family val="2"/>
      <scheme val="minor"/>
    </font>
    <font>
      <sz val="11"/>
      <color theme="1"/>
      <name val="Calibri"/>
      <family val="2"/>
    </font>
  </fonts>
  <fills count="11">
    <fill>
      <patternFill patternType="none"/>
    </fill>
    <fill>
      <patternFill patternType="gray125"/>
    </fill>
    <fill>
      <patternFill patternType="solid">
        <fgColor theme="6" tint="0.59999389629810485"/>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8" tint="0.79998168889431442"/>
        <bgColor indexed="65"/>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double">
        <color rgb="FF3F3F3F"/>
      </left>
      <right style="double">
        <color rgb="FF3F3F3F"/>
      </right>
      <top style="double">
        <color rgb="FF3F3F3F"/>
      </top>
      <bottom/>
      <diagonal/>
    </border>
  </borders>
  <cellStyleXfs count="7">
    <xf numFmtId="0" fontId="0" fillId="0" borderId="0"/>
    <xf numFmtId="0" fontId="7" fillId="5" borderId="0" applyNumberFormat="0" applyBorder="0" applyAlignment="0" applyProtection="0"/>
    <xf numFmtId="0" fontId="8" fillId="6" borderId="22" applyNumberFormat="0" applyAlignment="0" applyProtection="0"/>
    <xf numFmtId="0" fontId="9" fillId="6" borderId="21" applyNumberFormat="0" applyAlignment="0" applyProtection="0"/>
    <xf numFmtId="0" fontId="10" fillId="7" borderId="23" applyNumberFormat="0" applyAlignment="0" applyProtection="0"/>
    <xf numFmtId="0" fontId="3" fillId="8" borderId="24" applyNumberFormat="0" applyFont="0" applyAlignment="0" applyProtection="0"/>
    <xf numFmtId="0" fontId="3" fillId="9" borderId="0" applyNumberFormat="0" applyBorder="0" applyAlignment="0" applyProtection="0"/>
  </cellStyleXfs>
  <cellXfs count="125">
    <xf numFmtId="0" fontId="0" fillId="0" borderId="0" xfId="0"/>
    <xf numFmtId="0" fontId="1" fillId="0" borderId="0" xfId="0" applyFont="1" applyAlignment="1">
      <alignment horizontal="center" vertical="center"/>
    </xf>
    <xf numFmtId="0" fontId="0" fillId="0" borderId="0" xfId="0" applyAlignment="1">
      <alignment horizontal="center" vertical="center"/>
    </xf>
    <xf numFmtId="0" fontId="0" fillId="0" borderId="0" xfId="0"/>
    <xf numFmtId="0" fontId="0" fillId="0" borderId="0" xfId="0" applyBorder="1" applyAlignment="1">
      <alignment horizontal="center" vertical="center"/>
    </xf>
    <xf numFmtId="0" fontId="0" fillId="0" borderId="0" xfId="0" applyBorder="1" applyAlignment="1">
      <alignment horizontal="center"/>
    </xf>
    <xf numFmtId="0" fontId="0" fillId="0" borderId="1" xfId="0" applyBorder="1" applyAlignment="1">
      <alignment horizontal="center" vertical="center"/>
    </xf>
    <xf numFmtId="0" fontId="0" fillId="0" borderId="0" xfId="0" applyFill="1" applyBorder="1" applyAlignment="1"/>
    <xf numFmtId="0" fontId="0" fillId="0" borderId="0" xfId="0" applyFill="1" applyBorder="1" applyAlignment="1">
      <alignment horizontal="center" vertical="center"/>
    </xf>
    <xf numFmtId="0" fontId="1" fillId="0" borderId="0" xfId="0" applyFont="1" applyFill="1" applyBorder="1" applyAlignment="1"/>
    <xf numFmtId="0" fontId="1" fillId="0" borderId="0" xfId="0" applyFont="1" applyFill="1" applyBorder="1" applyAlignment="1">
      <alignment vertical="center"/>
    </xf>
    <xf numFmtId="0" fontId="0" fillId="0" borderId="1" xfId="0" applyFill="1" applyBorder="1" applyAlignment="1">
      <alignment horizontal="center" vertical="center"/>
    </xf>
    <xf numFmtId="2" fontId="0" fillId="0" borderId="1" xfId="0" applyNumberFormat="1" applyBorder="1" applyAlignment="1">
      <alignment horizontal="center" vertical="center"/>
    </xf>
    <xf numFmtId="0" fontId="1" fillId="3" borderId="9" xfId="0" applyFont="1" applyFill="1" applyBorder="1" applyAlignment="1">
      <alignment horizontal="left" vertical="center"/>
    </xf>
    <xf numFmtId="0" fontId="1" fillId="3" borderId="10" xfId="0" quotePrefix="1" applyFont="1" applyFill="1" applyBorder="1" applyAlignment="1">
      <alignment horizontal="center" vertical="center"/>
    </xf>
    <xf numFmtId="0" fontId="0" fillId="4" borderId="8" xfId="0" applyFill="1" applyBorder="1" applyAlignment="1">
      <alignment horizontal="center" vertical="center"/>
    </xf>
    <xf numFmtId="0" fontId="1" fillId="4" borderId="0" xfId="0" applyFont="1" applyFill="1" applyBorder="1" applyAlignment="1">
      <alignment horizontal="center" vertical="center"/>
    </xf>
    <xf numFmtId="0" fontId="0" fillId="4" borderId="10" xfId="0" applyFill="1" applyBorder="1" applyAlignment="1">
      <alignment horizontal="center" vertical="center"/>
    </xf>
    <xf numFmtId="0" fontId="4" fillId="4" borderId="11" xfId="0" applyFont="1" applyFill="1" applyBorder="1" applyAlignment="1">
      <alignment horizontal="center" vertical="center"/>
    </xf>
    <xf numFmtId="0" fontId="1" fillId="0" borderId="0" xfId="0" applyFont="1" applyBorder="1" applyAlignment="1">
      <alignment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 xfId="0" applyBorder="1" applyAlignment="1">
      <alignment horizontal="center" vertical="center"/>
    </xf>
    <xf numFmtId="0" fontId="0" fillId="0" borderId="19" xfId="0" applyBorder="1" applyAlignment="1">
      <alignment horizontal="center" vertical="center"/>
    </xf>
    <xf numFmtId="0" fontId="1" fillId="0" borderId="0" xfId="0" applyFont="1" applyAlignment="1">
      <alignment vertical="center"/>
    </xf>
    <xf numFmtId="0" fontId="0" fillId="0" borderId="0" xfId="0" applyAlignment="1">
      <alignment vertical="center"/>
    </xf>
    <xf numFmtId="0" fontId="5" fillId="0" borderId="0" xfId="0" applyFont="1" applyAlignment="1">
      <alignment vertical="center"/>
    </xf>
    <xf numFmtId="0" fontId="10" fillId="7" borderId="23" xfId="4" applyAlignment="1">
      <alignment horizontal="center" vertical="center"/>
    </xf>
    <xf numFmtId="0" fontId="0" fillId="10" borderId="0" xfId="0" applyFill="1" applyAlignment="1">
      <alignment vertical="center"/>
    </xf>
    <xf numFmtId="0" fontId="0" fillId="10" borderId="0" xfId="0" applyFill="1" applyAlignment="1">
      <alignment horizontal="center" vertical="center"/>
    </xf>
    <xf numFmtId="0" fontId="12" fillId="10" borderId="0" xfId="0" applyFont="1" applyFill="1" applyAlignment="1">
      <alignment horizontal="center" vertical="center"/>
    </xf>
    <xf numFmtId="0" fontId="12" fillId="10" borderId="0" xfId="0" applyFont="1" applyFill="1" applyAlignment="1">
      <alignment vertical="center"/>
    </xf>
    <xf numFmtId="0" fontId="10" fillId="7" borderId="23" xfId="4" applyAlignment="1">
      <alignment horizontal="center"/>
    </xf>
    <xf numFmtId="0" fontId="0" fillId="9" borderId="1" xfId="6" applyFont="1" applyBorder="1" applyAlignment="1">
      <alignment horizontal="center" vertical="center"/>
    </xf>
    <xf numFmtId="0" fontId="13" fillId="10" borderId="22" xfId="2" applyFont="1" applyFill="1" applyAlignment="1">
      <alignment horizontal="center" vertical="center"/>
    </xf>
    <xf numFmtId="0" fontId="0" fillId="10" borderId="0" xfId="0" applyFill="1" applyAlignment="1">
      <alignment horizontal="left" vertical="center"/>
    </xf>
    <xf numFmtId="0" fontId="3" fillId="9" borderId="1" xfId="6" applyBorder="1" applyAlignment="1">
      <alignment horizontal="center" vertical="center"/>
    </xf>
    <xf numFmtId="0" fontId="3" fillId="9" borderId="1" xfId="6" applyBorder="1" applyAlignment="1">
      <alignment horizontal="center"/>
    </xf>
    <xf numFmtId="0" fontId="3" fillId="9" borderId="1" xfId="6" applyBorder="1" applyAlignment="1"/>
    <xf numFmtId="0" fontId="0" fillId="0" borderId="1" xfId="0" applyFill="1" applyBorder="1" applyAlignment="1">
      <alignment horizontal="right" vertical="center"/>
    </xf>
    <xf numFmtId="2" fontId="0" fillId="0" borderId="1" xfId="0" applyNumberFormat="1" applyFill="1" applyBorder="1" applyAlignment="1">
      <alignment horizontal="right" vertical="center"/>
    </xf>
    <xf numFmtId="0" fontId="1" fillId="9" borderId="1" xfId="6" applyFont="1" applyBorder="1" applyAlignment="1">
      <alignment horizontal="center" vertical="center"/>
    </xf>
    <xf numFmtId="0" fontId="9" fillId="3" borderId="33" xfId="3" applyFill="1" applyBorder="1" applyAlignment="1">
      <alignment horizontal="center" vertical="center"/>
    </xf>
    <xf numFmtId="0" fontId="4" fillId="3" borderId="35" xfId="0" applyFont="1" applyFill="1" applyBorder="1" applyAlignment="1">
      <alignment horizontal="left" vertical="center"/>
    </xf>
    <xf numFmtId="0" fontId="9" fillId="3" borderId="8" xfId="3" applyFill="1" applyBorder="1" applyAlignment="1">
      <alignment horizontal="center" vertical="center"/>
    </xf>
    <xf numFmtId="0" fontId="9" fillId="6" borderId="1" xfId="3" applyBorder="1" applyAlignment="1">
      <alignment horizontal="center" vertical="center"/>
    </xf>
    <xf numFmtId="0" fontId="1" fillId="8" borderId="1" xfId="5" applyFont="1" applyBorder="1" applyAlignment="1">
      <alignment horizontal="center" vertical="center"/>
    </xf>
    <xf numFmtId="0" fontId="3" fillId="9" borderId="19" xfId="6" applyBorder="1" applyAlignment="1">
      <alignment horizontal="center" vertical="center"/>
    </xf>
    <xf numFmtId="0" fontId="3" fillId="9" borderId="7" xfId="6" applyBorder="1" applyAlignment="1">
      <alignment horizontal="center" vertical="center"/>
    </xf>
    <xf numFmtId="0" fontId="1" fillId="8" borderId="1" xfId="5" applyFont="1" applyBorder="1" applyAlignment="1">
      <alignment horizontal="center" vertical="center"/>
    </xf>
    <xf numFmtId="0" fontId="3" fillId="9" borderId="1" xfId="6" applyBorder="1" applyAlignment="1">
      <alignment horizontal="center" vertical="center"/>
    </xf>
    <xf numFmtId="0" fontId="10" fillId="7" borderId="23" xfId="4" applyAlignment="1">
      <alignment horizontal="center" vertical="center"/>
    </xf>
    <xf numFmtId="0" fontId="3" fillId="9" borderId="19" xfId="6" applyBorder="1" applyAlignment="1">
      <alignment horizontal="center" vertical="center"/>
    </xf>
    <xf numFmtId="0" fontId="0" fillId="0" borderId="1" xfId="0" applyBorder="1" applyAlignment="1">
      <alignment horizontal="center" vertical="center"/>
    </xf>
    <xf numFmtId="1" fontId="9" fillId="6" borderId="1" xfId="3" applyNumberFormat="1" applyBorder="1" applyAlignment="1">
      <alignment horizontal="center" vertical="center"/>
    </xf>
    <xf numFmtId="0" fontId="0" fillId="8" borderId="1" xfId="5" applyFont="1" applyBorder="1" applyAlignment="1">
      <alignment horizontal="center" vertical="center"/>
    </xf>
    <xf numFmtId="0" fontId="9" fillId="6" borderId="37" xfId="3" applyBorder="1" applyAlignment="1">
      <alignment horizontal="center" vertical="center"/>
    </xf>
    <xf numFmtId="10" fontId="9" fillId="6" borderId="36" xfId="3" applyNumberFormat="1" applyBorder="1" applyAlignment="1">
      <alignment horizontal="center" vertical="center"/>
    </xf>
    <xf numFmtId="0" fontId="9" fillId="6" borderId="36" xfId="3" applyBorder="1" applyAlignment="1">
      <alignment horizontal="center" vertical="center"/>
    </xf>
    <xf numFmtId="0" fontId="10" fillId="7" borderId="38" xfId="4" applyBorder="1" applyAlignment="1">
      <alignment horizontal="center"/>
    </xf>
    <xf numFmtId="0" fontId="9" fillId="6" borderId="1" xfId="3" applyBorder="1" applyAlignment="1">
      <alignment horizontal="center"/>
    </xf>
    <xf numFmtId="0" fontId="9" fillId="6" borderId="1" xfId="3" applyBorder="1" applyAlignment="1">
      <alignment vertical="center"/>
    </xf>
    <xf numFmtId="10" fontId="9" fillId="6" borderId="1" xfId="3" applyNumberFormat="1" applyBorder="1" applyAlignment="1">
      <alignment horizontal="center" vertical="center"/>
    </xf>
    <xf numFmtId="0" fontId="0" fillId="0" borderId="0" xfId="0" applyFill="1" applyBorder="1" applyAlignment="1">
      <alignment horizontal="center" vertical="center" wrapText="1"/>
    </xf>
    <xf numFmtId="0" fontId="0" fillId="0" borderId="0" xfId="0" applyFill="1" applyBorder="1" applyAlignment="1">
      <alignment vertical="center" wrapText="1"/>
    </xf>
    <xf numFmtId="0" fontId="0" fillId="0" borderId="0" xfId="0" applyFill="1" applyBorder="1"/>
    <xf numFmtId="0" fontId="14" fillId="0" borderId="0" xfId="0" applyFont="1" applyFill="1" applyBorder="1" applyAlignment="1">
      <alignment horizontal="center"/>
    </xf>
    <xf numFmtId="0" fontId="0" fillId="0" borderId="0" xfId="0" applyFill="1" applyBorder="1" applyAlignment="1">
      <alignment horizontal="left" vertical="center"/>
    </xf>
    <xf numFmtId="164" fontId="9" fillId="6" borderId="1" xfId="3" applyNumberFormat="1" applyBorder="1" applyAlignment="1">
      <alignment horizontal="center" vertical="center"/>
    </xf>
    <xf numFmtId="0" fontId="0" fillId="0" borderId="0" xfId="0" applyAlignment="1">
      <alignment horizontal="left" vertical="center"/>
    </xf>
    <xf numFmtId="0" fontId="0" fillId="9" borderId="1" xfId="6" applyFont="1" applyBorder="1" applyAlignment="1">
      <alignment horizontal="center" vertical="center"/>
    </xf>
    <xf numFmtId="0" fontId="0" fillId="0" borderId="1" xfId="0" applyBorder="1" applyAlignment="1">
      <alignment horizontal="center" vertical="center"/>
    </xf>
    <xf numFmtId="0" fontId="11" fillId="5" borderId="25" xfId="1" applyFont="1" applyBorder="1" applyAlignment="1">
      <alignment horizontal="center" vertical="center"/>
    </xf>
    <xf numFmtId="0" fontId="11" fillId="5" borderId="26" xfId="1" applyFont="1" applyBorder="1" applyAlignment="1">
      <alignment horizontal="center" vertical="center"/>
    </xf>
    <xf numFmtId="0" fontId="11" fillId="5" borderId="27" xfId="1" applyFont="1" applyBorder="1" applyAlignment="1">
      <alignment horizontal="center" vertical="center"/>
    </xf>
    <xf numFmtId="0" fontId="11" fillId="5" borderId="28" xfId="1" applyFont="1" applyBorder="1" applyAlignment="1">
      <alignment horizontal="center" vertical="center"/>
    </xf>
    <xf numFmtId="0" fontId="11" fillId="5" borderId="0" xfId="1" applyFont="1" applyBorder="1" applyAlignment="1">
      <alignment horizontal="center" vertical="center"/>
    </xf>
    <xf numFmtId="0" fontId="11" fillId="5" borderId="29" xfId="1" applyFont="1" applyBorder="1" applyAlignment="1">
      <alignment horizontal="center" vertical="center"/>
    </xf>
    <xf numFmtId="0" fontId="11" fillId="5" borderId="30" xfId="1" applyFont="1" applyBorder="1" applyAlignment="1">
      <alignment horizontal="center" vertical="center"/>
    </xf>
    <xf numFmtId="0" fontId="11" fillId="5" borderId="31" xfId="1" applyFont="1" applyBorder="1" applyAlignment="1">
      <alignment horizontal="center" vertical="center"/>
    </xf>
    <xf numFmtId="0" fontId="11" fillId="5" borderId="32" xfId="1" applyFont="1" applyBorder="1" applyAlignment="1">
      <alignment horizontal="center" vertical="center"/>
    </xf>
    <xf numFmtId="0" fontId="0" fillId="9" borderId="1" xfId="6" applyFont="1" applyBorder="1" applyAlignment="1">
      <alignment horizontal="center" vertical="center"/>
    </xf>
    <xf numFmtId="0" fontId="3" fillId="9" borderId="1" xfId="6" applyBorder="1" applyAlignment="1">
      <alignment horizontal="center" vertical="center"/>
    </xf>
    <xf numFmtId="0" fontId="0" fillId="0" borderId="0" xfId="0" applyFill="1" applyBorder="1" applyAlignment="1">
      <alignment horizontal="center"/>
    </xf>
    <xf numFmtId="0" fontId="3" fillId="9" borderId="1" xfId="6" applyBorder="1" applyAlignment="1">
      <alignment horizontal="center"/>
    </xf>
    <xf numFmtId="0" fontId="1" fillId="8" borderId="1" xfId="5" applyFont="1" applyBorder="1" applyAlignment="1">
      <alignment horizontal="center" vertical="center"/>
    </xf>
    <xf numFmtId="0" fontId="3" fillId="9" borderId="1" xfId="6" applyBorder="1" applyAlignment="1">
      <alignment horizontal="center" vertical="center" wrapText="1"/>
    </xf>
    <xf numFmtId="0" fontId="0" fillId="0" borderId="1" xfId="0" applyFont="1" applyFill="1" applyBorder="1" applyAlignment="1">
      <alignment horizontal="center" vertical="center" wrapText="1"/>
    </xf>
    <xf numFmtId="0" fontId="0" fillId="0" borderId="1" xfId="0" applyBorder="1" applyAlignment="1">
      <alignment horizontal="center" vertical="center" wrapText="1"/>
    </xf>
    <xf numFmtId="0" fontId="1" fillId="8" borderId="1" xfId="5" applyFont="1" applyBorder="1" applyAlignment="1">
      <alignment horizontal="right"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2" borderId="33" xfId="0" applyFont="1" applyFill="1" applyBorder="1" applyAlignment="1">
      <alignment horizontal="center" vertical="center"/>
    </xf>
    <xf numFmtId="0" fontId="1" fillId="2" borderId="34"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4" xfId="0" applyFont="1" applyFill="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0" fillId="8" borderId="25" xfId="5" applyFont="1" applyBorder="1" applyAlignment="1">
      <alignment horizontal="left" vertical="center" wrapText="1"/>
    </xf>
    <xf numFmtId="0" fontId="0" fillId="8" borderId="26" xfId="5" applyFont="1" applyBorder="1" applyAlignment="1">
      <alignment horizontal="left" vertical="center" wrapText="1"/>
    </xf>
    <xf numFmtId="0" fontId="0" fillId="8" borderId="27" xfId="5" applyFont="1" applyBorder="1" applyAlignment="1">
      <alignment horizontal="left" vertical="center" wrapText="1"/>
    </xf>
    <xf numFmtId="0" fontId="0" fillId="8" borderId="28" xfId="5" applyFont="1" applyBorder="1" applyAlignment="1">
      <alignment horizontal="left" vertical="center" wrapText="1"/>
    </xf>
    <xf numFmtId="0" fontId="0" fillId="8" borderId="0" xfId="5" applyFont="1" applyBorder="1" applyAlignment="1">
      <alignment horizontal="left" vertical="center" wrapText="1"/>
    </xf>
    <xf numFmtId="0" fontId="0" fillId="8" borderId="29" xfId="5" applyFont="1" applyBorder="1" applyAlignment="1">
      <alignment horizontal="left" vertical="center" wrapText="1"/>
    </xf>
    <xf numFmtId="0" fontId="0" fillId="8" borderId="30" xfId="5" applyFont="1" applyBorder="1" applyAlignment="1">
      <alignment horizontal="left" vertical="center" wrapText="1"/>
    </xf>
    <xf numFmtId="0" fontId="0" fillId="8" borderId="31" xfId="5" applyFont="1" applyBorder="1" applyAlignment="1">
      <alignment horizontal="left" vertical="center" wrapText="1"/>
    </xf>
    <xf numFmtId="0" fontId="0" fillId="8" borderId="32" xfId="5" applyFont="1" applyBorder="1" applyAlignment="1">
      <alignment horizontal="left" vertical="center" wrapText="1"/>
    </xf>
    <xf numFmtId="0" fontId="3" fillId="9" borderId="7" xfId="6" applyBorder="1" applyAlignment="1">
      <alignment horizontal="center" vertical="center"/>
    </xf>
    <xf numFmtId="0" fontId="3" fillId="9" borderId="20" xfId="6" applyBorder="1" applyAlignment="1">
      <alignment horizontal="center" vertical="center"/>
    </xf>
    <xf numFmtId="0" fontId="3" fillId="9" borderId="19" xfId="6" applyBorder="1" applyAlignment="1">
      <alignment horizontal="center" vertical="center"/>
    </xf>
    <xf numFmtId="0" fontId="0" fillId="0" borderId="1" xfId="0" applyBorder="1" applyAlignment="1">
      <alignment horizontal="center" vertical="center"/>
    </xf>
    <xf numFmtId="0" fontId="0" fillId="8" borderId="1" xfId="5" applyFont="1" applyBorder="1" applyAlignment="1">
      <alignment horizontal="center" vertical="center"/>
    </xf>
    <xf numFmtId="0" fontId="0" fillId="0" borderId="25" xfId="0" applyFont="1" applyBorder="1" applyAlignment="1">
      <alignment horizontal="center" vertical="center" wrapText="1"/>
    </xf>
    <xf numFmtId="0" fontId="0" fillId="0" borderId="26" xfId="0" applyFont="1" applyBorder="1" applyAlignment="1">
      <alignment horizontal="center" vertical="center" wrapText="1"/>
    </xf>
    <xf numFmtId="0" fontId="0" fillId="0" borderId="27" xfId="0" applyFont="1" applyBorder="1" applyAlignment="1">
      <alignment horizontal="center" vertical="center" wrapText="1"/>
    </xf>
    <xf numFmtId="0" fontId="0" fillId="0" borderId="30" xfId="0" applyFont="1" applyBorder="1" applyAlignment="1">
      <alignment horizontal="center" vertical="center" wrapText="1"/>
    </xf>
    <xf numFmtId="0" fontId="0" fillId="0" borderId="31" xfId="0" applyFont="1" applyBorder="1" applyAlignment="1">
      <alignment horizontal="center" vertical="center" wrapText="1"/>
    </xf>
    <xf numFmtId="0" fontId="0" fillId="0" borderId="32" xfId="0" applyFont="1" applyBorder="1" applyAlignment="1">
      <alignment horizontal="center" vertical="center" wrapText="1"/>
    </xf>
  </cellXfs>
  <cellStyles count="7">
    <cellStyle name="20% - Énfasis5" xfId="6" builtinId="46"/>
    <cellStyle name="Buena" xfId="1" builtinId="26"/>
    <cellStyle name="Cálculo" xfId="3" builtinId="22"/>
    <cellStyle name="Celda de comprobación" xfId="4" builtinId="23"/>
    <cellStyle name="Normal" xfId="0" builtinId="0"/>
    <cellStyle name="Notas" xfId="5" builtinId="10"/>
    <cellStyle name="Salida"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firstButton="1" fmlaLink="$D$4" lockText="1"/>
</file>

<file path=xl/ctrlProps/ctrlProp8.xml><?xml version="1.0" encoding="utf-8"?>
<formControlPr xmlns="http://schemas.microsoft.com/office/spreadsheetml/2009/9/main" objectType="Radio" checked="Checked" lockText="1"/>
</file>

<file path=xl/ctrlProps/ctrlProp9.xml><?xml version="1.0" encoding="utf-8"?>
<formControlPr xmlns="http://schemas.microsoft.com/office/spreadsheetml/2009/9/main" objectType="CheckBox" checked="Checked" fmlaLink="$E$5" lockText="1"/>
</file>

<file path=xl/ctrlProps/ctrlProp10.xml><?xml version="1.0" encoding="utf-8"?>
<formControlPr xmlns="http://schemas.microsoft.com/office/spreadsheetml/2009/9/main" objectType="CheckBox" checked="Checked" fmlaLink="$E$4"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Radio" firstButton="1" fmlaLink="C3" lockText="1"/>
</file>

<file path=xl/ctrlProps/ctrlProp21.xml><?xml version="1.0" encoding="utf-8"?>
<formControlPr xmlns="http://schemas.microsoft.com/office/spreadsheetml/2009/9/main" objectType="Radio" checked="Checked" lockText="1"/>
</file>

<file path=xl/ctrlProps/ctrlProp2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8</xdr:col>
      <xdr:colOff>495300</xdr:colOff>
      <xdr:row>7</xdr:row>
      <xdr:rowOff>28575</xdr:rowOff>
    </xdr:from>
    <xdr:to>
      <xdr:col>9</xdr:col>
      <xdr:colOff>352425</xdr:colOff>
      <xdr:row>9</xdr:row>
      <xdr:rowOff>76200</xdr:rowOff>
    </xdr:to>
    <xdr:sp macro="" textlink="">
      <xdr:nvSpPr>
        <xdr:cNvPr id="2" name="Oval 1"/>
        <xdr:cNvSpPr/>
      </xdr:nvSpPr>
      <xdr:spPr>
        <a:xfrm>
          <a:off x="5038725" y="1171575"/>
          <a:ext cx="46672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1</a:t>
          </a:r>
        </a:p>
      </xdr:txBody>
    </xdr:sp>
    <xdr:clientData/>
  </xdr:twoCellAnchor>
  <xdr:twoCellAnchor>
    <xdr:from>
      <xdr:col>10</xdr:col>
      <xdr:colOff>9525</xdr:colOff>
      <xdr:row>7</xdr:row>
      <xdr:rowOff>28575</xdr:rowOff>
    </xdr:from>
    <xdr:to>
      <xdr:col>10</xdr:col>
      <xdr:colOff>476250</xdr:colOff>
      <xdr:row>9</xdr:row>
      <xdr:rowOff>66675</xdr:rowOff>
    </xdr:to>
    <xdr:sp macro="" textlink="">
      <xdr:nvSpPr>
        <xdr:cNvPr id="3" name="Oval 2"/>
        <xdr:cNvSpPr/>
      </xdr:nvSpPr>
      <xdr:spPr>
        <a:xfrm>
          <a:off x="5772150" y="1171575"/>
          <a:ext cx="466725" cy="42862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2</a:t>
          </a:r>
        </a:p>
      </xdr:txBody>
    </xdr:sp>
    <xdr:clientData/>
  </xdr:twoCellAnchor>
  <mc:AlternateContent xmlns:mc="http://schemas.openxmlformats.org/markup-compatibility/2006">
    <mc:Choice xmlns:a14="http://schemas.microsoft.com/office/drawing/2010/main" Requires="a14">
      <xdr:twoCellAnchor>
        <xdr:from>
          <xdr:col>10</xdr:col>
          <xdr:colOff>361950</xdr:colOff>
          <xdr:row>21</xdr:row>
          <xdr:rowOff>161925</xdr:rowOff>
        </xdr:from>
        <xdr:to>
          <xdr:col>12</xdr:col>
          <xdr:colOff>0</xdr:colOff>
          <xdr:row>23</xdr:row>
          <xdr:rowOff>47625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Clear</a:t>
              </a:r>
              <a:endParaRPr lang="en-GB"/>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1</xdr:row>
      <xdr:rowOff>66675</xdr:rowOff>
    </xdr:from>
    <xdr:to>
      <xdr:col>10</xdr:col>
      <xdr:colOff>552450</xdr:colOff>
      <xdr:row>9</xdr:row>
      <xdr:rowOff>86995</xdr:rowOff>
    </xdr:to>
    <xdr:pic>
      <xdr:nvPicPr>
        <xdr:cNvPr id="2" name="Imagen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1450" y="257175"/>
          <a:ext cx="4486275" cy="1582420"/>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xdr:from>
          <xdr:col>2</xdr:col>
          <xdr:colOff>57150</xdr:colOff>
          <xdr:row>10</xdr:row>
          <xdr:rowOff>171450</xdr:rowOff>
        </xdr:from>
        <xdr:to>
          <xdr:col>5</xdr:col>
          <xdr:colOff>200025</xdr:colOff>
          <xdr:row>13</xdr:row>
          <xdr:rowOff>57150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Generate Routes</a:t>
              </a:r>
              <a:endParaRPr lang="en-GB"/>
            </a:p>
          </xdr:txBody>
        </xdr:sp>
        <xdr:clientData fPrintsWithSheet="0"/>
      </xdr:twoCellAnchor>
    </mc:Choice>
    <mc:Fallback/>
  </mc:AlternateContent>
  <xdr:twoCellAnchor>
    <xdr:from>
      <xdr:col>11</xdr:col>
      <xdr:colOff>142875</xdr:colOff>
      <xdr:row>10</xdr:row>
      <xdr:rowOff>180975</xdr:rowOff>
    </xdr:from>
    <xdr:to>
      <xdr:col>11</xdr:col>
      <xdr:colOff>609600</xdr:colOff>
      <xdr:row>13</xdr:row>
      <xdr:rowOff>0</xdr:rowOff>
    </xdr:to>
    <xdr:sp macro="" textlink="">
      <xdr:nvSpPr>
        <xdr:cNvPr id="3" name="Oval 2"/>
        <xdr:cNvSpPr/>
      </xdr:nvSpPr>
      <xdr:spPr>
        <a:xfrm>
          <a:off x="5076825" y="2124075"/>
          <a:ext cx="46672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1</a:t>
          </a:r>
        </a:p>
      </xdr:txBody>
    </xdr:sp>
    <xdr:clientData/>
  </xdr:twoCellAnchor>
  <xdr:twoCellAnchor>
    <xdr:from>
      <xdr:col>0</xdr:col>
      <xdr:colOff>219075</xdr:colOff>
      <xdr:row>10</xdr:row>
      <xdr:rowOff>152400</xdr:rowOff>
    </xdr:from>
    <xdr:to>
      <xdr:col>1</xdr:col>
      <xdr:colOff>76200</xdr:colOff>
      <xdr:row>12</xdr:row>
      <xdr:rowOff>190500</xdr:rowOff>
    </xdr:to>
    <xdr:sp macro="" textlink="">
      <xdr:nvSpPr>
        <xdr:cNvPr id="6" name="Oval 5"/>
        <xdr:cNvSpPr/>
      </xdr:nvSpPr>
      <xdr:spPr>
        <a:xfrm>
          <a:off x="219075" y="2076450"/>
          <a:ext cx="466725" cy="42862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2</a:t>
          </a:r>
        </a:p>
      </xdr:txBody>
    </xdr:sp>
    <xdr:clientData/>
  </xdr:twoCellAnchor>
  <mc:AlternateContent xmlns:mc="http://schemas.openxmlformats.org/markup-compatibility/2006">
    <mc:Choice xmlns:a14="http://schemas.microsoft.com/office/drawing/2010/main" Requires="a14">
      <xdr:twoCellAnchor>
        <xdr:from>
          <xdr:col>20</xdr:col>
          <xdr:colOff>47625</xdr:colOff>
          <xdr:row>20</xdr:row>
          <xdr:rowOff>66675</xdr:rowOff>
        </xdr:from>
        <xdr:to>
          <xdr:col>23</xdr:col>
          <xdr:colOff>152400</xdr:colOff>
          <xdr:row>22</xdr:row>
          <xdr:rowOff>123825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Assign Trips</a:t>
              </a:r>
              <a:endParaRPr lang="en-GB"/>
            </a:p>
          </xdr:txBody>
        </xdr:sp>
        <xdr:clientData fPrintsWithSheet="0"/>
      </xdr:twoCellAnchor>
    </mc:Choice>
    <mc:Fallback/>
  </mc:AlternateContent>
  <xdr:twoCellAnchor>
    <xdr:from>
      <xdr:col>19</xdr:col>
      <xdr:colOff>161925</xdr:colOff>
      <xdr:row>22</xdr:row>
      <xdr:rowOff>190500</xdr:rowOff>
    </xdr:from>
    <xdr:to>
      <xdr:col>21</xdr:col>
      <xdr:colOff>180975</xdr:colOff>
      <xdr:row>25</xdr:row>
      <xdr:rowOff>28575</xdr:rowOff>
    </xdr:to>
    <xdr:sp macro="" textlink="">
      <xdr:nvSpPr>
        <xdr:cNvPr id="8" name="Oval 7"/>
        <xdr:cNvSpPr/>
      </xdr:nvSpPr>
      <xdr:spPr>
        <a:xfrm>
          <a:off x="7429500" y="4619625"/>
          <a:ext cx="466725" cy="46672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3</a:t>
          </a:r>
        </a:p>
      </xdr:txBody>
    </xdr:sp>
    <xdr:clientData/>
  </xdr:twoCellAnchor>
  <mc:AlternateContent xmlns:mc="http://schemas.openxmlformats.org/markup-compatibility/2006">
    <mc:Choice xmlns:a14="http://schemas.microsoft.com/office/drawing/2010/main" Requires="a14">
      <xdr:twoCellAnchor>
        <xdr:from>
          <xdr:col>24</xdr:col>
          <xdr:colOff>314325</xdr:colOff>
          <xdr:row>16</xdr:row>
          <xdr:rowOff>76200</xdr:rowOff>
        </xdr:from>
        <xdr:to>
          <xdr:col>25</xdr:col>
          <xdr:colOff>561975</xdr:colOff>
          <xdr:row>17</xdr:row>
          <xdr:rowOff>142875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Clear</a:t>
              </a:r>
              <a:endParaRPr lang="en-GB"/>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133351</xdr:colOff>
      <xdr:row>0</xdr:row>
      <xdr:rowOff>133350</xdr:rowOff>
    </xdr:from>
    <xdr:to>
      <xdr:col>7</xdr:col>
      <xdr:colOff>342900</xdr:colOff>
      <xdr:row>8</xdr:row>
      <xdr:rowOff>77470</xdr:rowOff>
    </xdr:to>
    <xdr:pic>
      <xdr:nvPicPr>
        <xdr:cNvPr id="2" name="Imagen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133350"/>
          <a:ext cx="3981449" cy="1582420"/>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xdr:from>
          <xdr:col>5</xdr:col>
          <xdr:colOff>19050</xdr:colOff>
          <xdr:row>11</xdr:row>
          <xdr:rowOff>19050</xdr:rowOff>
        </xdr:from>
        <xdr:to>
          <xdr:col>7</xdr:col>
          <xdr:colOff>0</xdr:colOff>
          <xdr:row>12</xdr:row>
          <xdr:rowOff>114300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Incremental Loading Technique</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11</xdr:row>
          <xdr:rowOff>19050</xdr:rowOff>
        </xdr:from>
        <xdr:to>
          <xdr:col>9</xdr:col>
          <xdr:colOff>0</xdr:colOff>
          <xdr:row>12</xdr:row>
          <xdr:rowOff>114300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Successive Averages</a:t>
              </a:r>
              <a:endParaRPr lang="en-GB"/>
            </a:p>
          </xdr:txBody>
        </xdr:sp>
        <xdr:clientData fPrintsWithSheet="0"/>
      </xdr:twoCellAnchor>
    </mc:Choice>
    <mc:Fallback/>
  </mc:AlternateContent>
  <xdr:twoCellAnchor>
    <xdr:from>
      <xdr:col>7</xdr:col>
      <xdr:colOff>390525</xdr:colOff>
      <xdr:row>6</xdr:row>
      <xdr:rowOff>57150</xdr:rowOff>
    </xdr:from>
    <xdr:to>
      <xdr:col>7</xdr:col>
      <xdr:colOff>809625</xdr:colOff>
      <xdr:row>8</xdr:row>
      <xdr:rowOff>104775</xdr:rowOff>
    </xdr:to>
    <xdr:sp macro="" textlink="">
      <xdr:nvSpPr>
        <xdr:cNvPr id="5" name="Oval 4"/>
        <xdr:cNvSpPr/>
      </xdr:nvSpPr>
      <xdr:spPr>
        <a:xfrm>
          <a:off x="4162425" y="1285875"/>
          <a:ext cx="419100" cy="4572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1</a:t>
          </a:r>
        </a:p>
      </xdr:txBody>
    </xdr:sp>
    <xdr:clientData/>
  </xdr:twoCellAnchor>
  <xdr:twoCellAnchor>
    <xdr:from>
      <xdr:col>13</xdr:col>
      <xdr:colOff>319088</xdr:colOff>
      <xdr:row>6</xdr:row>
      <xdr:rowOff>47625</xdr:rowOff>
    </xdr:from>
    <xdr:to>
      <xdr:col>13</xdr:col>
      <xdr:colOff>333375</xdr:colOff>
      <xdr:row>9</xdr:row>
      <xdr:rowOff>95250</xdr:rowOff>
    </xdr:to>
    <xdr:cxnSp macro="">
      <xdr:nvCxnSpPr>
        <xdr:cNvPr id="4" name="Straight Arrow Connector 3"/>
        <xdr:cNvCxnSpPr>
          <a:stCxn id="13" idx="0"/>
        </xdr:cNvCxnSpPr>
      </xdr:nvCxnSpPr>
      <xdr:spPr>
        <a:xfrm flipV="1">
          <a:off x="7386638" y="1295400"/>
          <a:ext cx="14287" cy="64770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142875</xdr:colOff>
      <xdr:row>7</xdr:row>
      <xdr:rowOff>28575</xdr:rowOff>
    </xdr:from>
    <xdr:to>
      <xdr:col>11</xdr:col>
      <xdr:colOff>200025</xdr:colOff>
      <xdr:row>9</xdr:row>
      <xdr:rowOff>76200</xdr:rowOff>
    </xdr:to>
    <xdr:sp macro="" textlink="">
      <xdr:nvSpPr>
        <xdr:cNvPr id="12" name="Oval 11"/>
        <xdr:cNvSpPr/>
      </xdr:nvSpPr>
      <xdr:spPr>
        <a:xfrm>
          <a:off x="5962650" y="1466850"/>
          <a:ext cx="37147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3</a:t>
          </a:r>
        </a:p>
      </xdr:txBody>
    </xdr:sp>
    <xdr:clientData/>
  </xdr:twoCellAnchor>
  <xdr:twoCellAnchor>
    <xdr:from>
      <xdr:col>13</xdr:col>
      <xdr:colOff>133350</xdr:colOff>
      <xdr:row>9</xdr:row>
      <xdr:rowOff>95250</xdr:rowOff>
    </xdr:from>
    <xdr:to>
      <xdr:col>13</xdr:col>
      <xdr:colOff>504825</xdr:colOff>
      <xdr:row>11</xdr:row>
      <xdr:rowOff>66675</xdr:rowOff>
    </xdr:to>
    <xdr:sp macro="" textlink="">
      <xdr:nvSpPr>
        <xdr:cNvPr id="13" name="Oval 12"/>
        <xdr:cNvSpPr/>
      </xdr:nvSpPr>
      <xdr:spPr>
        <a:xfrm>
          <a:off x="7200900" y="1943100"/>
          <a:ext cx="371475" cy="37147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2</a:t>
          </a:r>
        </a:p>
      </xdr:txBody>
    </xdr:sp>
    <xdr:clientData/>
  </xdr:twoCellAnchor>
  <mc:AlternateContent xmlns:mc="http://schemas.openxmlformats.org/markup-compatibility/2006">
    <mc:Choice xmlns:a14="http://schemas.microsoft.com/office/drawing/2010/main" Requires="a14">
      <xdr:twoCellAnchor editAs="oneCell">
        <xdr:from>
          <xdr:col>12</xdr:col>
          <xdr:colOff>142875</xdr:colOff>
          <xdr:row>19</xdr:row>
          <xdr:rowOff>200025</xdr:rowOff>
        </xdr:from>
        <xdr:to>
          <xdr:col>12</xdr:col>
          <xdr:colOff>352425</xdr:colOff>
          <xdr:row>21</xdr:row>
          <xdr:rowOff>0</xdr:rowOff>
        </xdr:to>
        <xdr:sp macro="" textlink="">
          <xdr:nvSpPr>
            <xdr:cNvPr id="2053" name="Check Box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19</xdr:row>
          <xdr:rowOff>9525</xdr:rowOff>
        </xdr:from>
        <xdr:to>
          <xdr:col>12</xdr:col>
          <xdr:colOff>361950</xdr:colOff>
          <xdr:row>20</xdr:row>
          <xdr:rowOff>28575</xdr:rowOff>
        </xdr:to>
        <xdr:sp macro="" textlink="">
          <xdr:nvSpPr>
            <xdr:cNvPr id="2054" name="Check Box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xdr:twoCellAnchor>
    <xdr:from>
      <xdr:col>6</xdr:col>
      <xdr:colOff>9525</xdr:colOff>
      <xdr:row>8</xdr:row>
      <xdr:rowOff>47625</xdr:rowOff>
    </xdr:from>
    <xdr:to>
      <xdr:col>10</xdr:col>
      <xdr:colOff>142875</xdr:colOff>
      <xdr:row>11</xdr:row>
      <xdr:rowOff>19050</xdr:rowOff>
    </xdr:to>
    <xdr:cxnSp macro="">
      <xdr:nvCxnSpPr>
        <xdr:cNvPr id="9" name="Straight Arrow Connector 8"/>
        <xdr:cNvCxnSpPr>
          <a:stCxn id="12" idx="2"/>
        </xdr:cNvCxnSpPr>
      </xdr:nvCxnSpPr>
      <xdr:spPr>
        <a:xfrm flipH="1">
          <a:off x="3038475" y="1685925"/>
          <a:ext cx="2924175" cy="561975"/>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0</xdr:colOff>
      <xdr:row>9</xdr:row>
      <xdr:rowOff>12034</xdr:rowOff>
    </xdr:from>
    <xdr:to>
      <xdr:col>10</xdr:col>
      <xdr:colOff>197276</xdr:colOff>
      <xdr:row>11</xdr:row>
      <xdr:rowOff>166687</xdr:rowOff>
    </xdr:to>
    <xdr:cxnSp macro="">
      <xdr:nvCxnSpPr>
        <xdr:cNvPr id="17" name="Straight Arrow Connector 16"/>
        <xdr:cNvCxnSpPr>
          <a:stCxn id="12" idx="3"/>
        </xdr:cNvCxnSpPr>
      </xdr:nvCxnSpPr>
      <xdr:spPr>
        <a:xfrm flipH="1">
          <a:off x="5429250" y="1840834"/>
          <a:ext cx="587801" cy="554703"/>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0</xdr:colOff>
      <xdr:row>11</xdr:row>
      <xdr:rowOff>161925</xdr:rowOff>
    </xdr:from>
    <xdr:to>
      <xdr:col>12</xdr:col>
      <xdr:colOff>19050</xdr:colOff>
      <xdr:row>14</xdr:row>
      <xdr:rowOff>152400</xdr:rowOff>
    </xdr:to>
    <xdr:cxnSp macro="">
      <xdr:nvCxnSpPr>
        <xdr:cNvPr id="15" name="Straight Arrow Connector 14"/>
        <xdr:cNvCxnSpPr/>
      </xdr:nvCxnSpPr>
      <xdr:spPr>
        <a:xfrm>
          <a:off x="5429250" y="2409825"/>
          <a:ext cx="1209675" cy="561975"/>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10</xdr:col>
          <xdr:colOff>76200</xdr:colOff>
          <xdr:row>17</xdr:row>
          <xdr:rowOff>190500</xdr:rowOff>
        </xdr:from>
        <xdr:to>
          <xdr:col>11</xdr:col>
          <xdr:colOff>19050</xdr:colOff>
          <xdr:row>19</xdr:row>
          <xdr:rowOff>38100</xdr:rowOff>
        </xdr:to>
        <xdr:sp macro="" textlink="">
          <xdr:nvSpPr>
            <xdr:cNvPr id="2052" name="Option Button 4"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18</xdr:row>
          <xdr:rowOff>171450</xdr:rowOff>
        </xdr:from>
        <xdr:to>
          <xdr:col>11</xdr:col>
          <xdr:colOff>28575</xdr:colOff>
          <xdr:row>20</xdr:row>
          <xdr:rowOff>57150</xdr:rowOff>
        </xdr:to>
        <xdr:sp macro="" textlink="">
          <xdr:nvSpPr>
            <xdr:cNvPr id="2051" name="Option Button 3"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47625</xdr:colOff>
          <xdr:row>22</xdr:row>
          <xdr:rowOff>19050</xdr:rowOff>
        </xdr:from>
        <xdr:to>
          <xdr:col>13</xdr:col>
          <xdr:colOff>457200</xdr:colOff>
          <xdr:row>23</xdr:row>
          <xdr:rowOff>76200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Clear</a:t>
              </a:r>
              <a:endParaRPr lang="en-GB"/>
            </a:p>
          </xdr:txBody>
        </xdr:sp>
        <xdr:clientData fPrintsWithSheet="0"/>
      </xdr:twoCellAnchor>
    </mc:Choice>
    <mc:Fallback/>
  </mc:AlternateContent>
  <xdr:oneCellAnchor>
    <xdr:from>
      <xdr:col>14</xdr:col>
      <xdr:colOff>1</xdr:colOff>
      <xdr:row>10</xdr:row>
      <xdr:rowOff>9524</xdr:rowOff>
    </xdr:from>
    <xdr:ext cx="3162300" cy="390526"/>
    <xdr:sp macro="" textlink="">
      <xdr:nvSpPr>
        <xdr:cNvPr id="3" name="2 CuadroTexto"/>
        <xdr:cNvSpPr txBox="1"/>
      </xdr:nvSpPr>
      <xdr:spPr>
        <a:xfrm>
          <a:off x="7867651" y="2038349"/>
          <a:ext cx="3162300" cy="390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lang="en-GB" sz="1100">
            <a:ln>
              <a:solidFill>
                <a:sysClr val="windowText" lastClr="000000"/>
              </a:solidFill>
            </a:ln>
          </a:endParaRP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6</xdr:col>
      <xdr:colOff>295275</xdr:colOff>
      <xdr:row>5</xdr:row>
      <xdr:rowOff>28575</xdr:rowOff>
    </xdr:from>
    <xdr:to>
      <xdr:col>6</xdr:col>
      <xdr:colOff>300038</xdr:colOff>
      <xdr:row>7</xdr:row>
      <xdr:rowOff>28575</xdr:rowOff>
    </xdr:to>
    <xdr:cxnSp macro="">
      <xdr:nvCxnSpPr>
        <xdr:cNvPr id="5" name="Straight Arrow Connector 4"/>
        <xdr:cNvCxnSpPr>
          <a:stCxn id="4" idx="0"/>
        </xdr:cNvCxnSpPr>
      </xdr:nvCxnSpPr>
      <xdr:spPr>
        <a:xfrm flipH="1" flipV="1">
          <a:off x="3810000" y="981075"/>
          <a:ext cx="4763" cy="381000"/>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6</xdr:col>
      <xdr:colOff>458315</xdr:colOff>
      <xdr:row>6</xdr:row>
      <xdr:rowOff>28575</xdr:rowOff>
    </xdr:from>
    <xdr:to>
      <xdr:col>7</xdr:col>
      <xdr:colOff>371475</xdr:colOff>
      <xdr:row>7</xdr:row>
      <xdr:rowOff>92741</xdr:rowOff>
    </xdr:to>
    <xdr:cxnSp macro="">
      <xdr:nvCxnSpPr>
        <xdr:cNvPr id="8" name="Straight Arrow Connector 7"/>
        <xdr:cNvCxnSpPr>
          <a:stCxn id="4" idx="7"/>
        </xdr:cNvCxnSpPr>
      </xdr:nvCxnSpPr>
      <xdr:spPr>
        <a:xfrm flipV="1">
          <a:off x="3973040" y="1171575"/>
          <a:ext cx="522760" cy="254666"/>
        </a:xfrm>
        <a:prstGeom prst="straightConnector1">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76200</xdr:colOff>
      <xdr:row>0</xdr:row>
      <xdr:rowOff>57151</xdr:rowOff>
    </xdr:from>
    <xdr:to>
      <xdr:col>4</xdr:col>
      <xdr:colOff>742950</xdr:colOff>
      <xdr:row>10</xdr:row>
      <xdr:rowOff>152401</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 y="57151"/>
          <a:ext cx="2962275" cy="200025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7</xdr:row>
      <xdr:rowOff>28575</xdr:rowOff>
    </xdr:from>
    <xdr:to>
      <xdr:col>6</xdr:col>
      <xdr:colOff>523875</xdr:colOff>
      <xdr:row>9</xdr:row>
      <xdr:rowOff>85725</xdr:rowOff>
    </xdr:to>
    <xdr:sp macro="" textlink="">
      <xdr:nvSpPr>
        <xdr:cNvPr id="4" name="Oval 3"/>
        <xdr:cNvSpPr/>
      </xdr:nvSpPr>
      <xdr:spPr>
        <a:xfrm>
          <a:off x="3590925" y="1362075"/>
          <a:ext cx="44767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1</a:t>
          </a:r>
        </a:p>
      </xdr:txBody>
    </xdr:sp>
    <xdr:clientData/>
  </xdr:twoCellAnchor>
  <mc:AlternateContent xmlns:mc="http://schemas.openxmlformats.org/markup-compatibility/2006">
    <mc:Choice xmlns:a14="http://schemas.microsoft.com/office/drawing/2010/main" Requires="a14">
      <xdr:twoCellAnchor>
        <xdr:from>
          <xdr:col>9</xdr:col>
          <xdr:colOff>571500</xdr:colOff>
          <xdr:row>6</xdr:row>
          <xdr:rowOff>95250</xdr:rowOff>
        </xdr:from>
        <xdr:to>
          <xdr:col>12</xdr:col>
          <xdr:colOff>0</xdr:colOff>
          <xdr:row>7</xdr:row>
          <xdr:rowOff>152400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(1) Get Matrix C</a:t>
              </a:r>
              <a:endParaRPr lang="en-GB"/>
            </a:p>
          </xdr:txBody>
        </xdr:sp>
        <xdr:clientData fPrintsWithSheet="0"/>
      </xdr:twoCellAnchor>
    </mc:Choice>
    <mc:Fallback/>
  </mc:AlternateContent>
  <xdr:twoCellAnchor>
    <xdr:from>
      <xdr:col>7</xdr:col>
      <xdr:colOff>142875</xdr:colOff>
      <xdr:row>16</xdr:row>
      <xdr:rowOff>38100</xdr:rowOff>
    </xdr:from>
    <xdr:to>
      <xdr:col>7</xdr:col>
      <xdr:colOff>590550</xdr:colOff>
      <xdr:row>18</xdr:row>
      <xdr:rowOff>95250</xdr:rowOff>
    </xdr:to>
    <xdr:sp macro="" textlink="">
      <xdr:nvSpPr>
        <xdr:cNvPr id="7" name="Oval 6"/>
        <xdr:cNvSpPr/>
      </xdr:nvSpPr>
      <xdr:spPr>
        <a:xfrm>
          <a:off x="5495925" y="3086100"/>
          <a:ext cx="44767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2</a:t>
          </a:r>
        </a:p>
      </xdr:txBody>
    </xdr:sp>
    <xdr:clientData/>
  </xdr:twoCellAnchor>
  <mc:AlternateContent xmlns:mc="http://schemas.openxmlformats.org/markup-compatibility/2006">
    <mc:Choice xmlns:a14="http://schemas.microsoft.com/office/drawing/2010/main" Requires="a14">
      <xdr:twoCellAnchor>
        <xdr:from>
          <xdr:col>12</xdr:col>
          <xdr:colOff>314325</xdr:colOff>
          <xdr:row>12</xdr:row>
          <xdr:rowOff>0</xdr:rowOff>
        </xdr:from>
        <xdr:to>
          <xdr:col>14</xdr:col>
          <xdr:colOff>76200</xdr:colOff>
          <xdr:row>13</xdr:row>
          <xdr:rowOff>114300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(2) Run OCGM</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314325</xdr:colOff>
          <xdr:row>14</xdr:row>
          <xdr:rowOff>76200</xdr:rowOff>
        </xdr:from>
        <xdr:to>
          <xdr:col>14</xdr:col>
          <xdr:colOff>95250</xdr:colOff>
          <xdr:row>15</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(3) Assign Flows</a:t>
              </a:r>
              <a:endParaRPr lang="en-GB"/>
            </a:p>
          </xdr:txBody>
        </xdr:sp>
        <xdr:clientData fPrintsWithSheet="0"/>
      </xdr:twoCellAnchor>
    </mc:Choice>
    <mc:Fallback/>
  </mc:AlternateContent>
  <xdr:twoCellAnchor>
    <xdr:from>
      <xdr:col>7</xdr:col>
      <xdr:colOff>142875</xdr:colOff>
      <xdr:row>25</xdr:row>
      <xdr:rowOff>38100</xdr:rowOff>
    </xdr:from>
    <xdr:to>
      <xdr:col>7</xdr:col>
      <xdr:colOff>590550</xdr:colOff>
      <xdr:row>27</xdr:row>
      <xdr:rowOff>95250</xdr:rowOff>
    </xdr:to>
    <xdr:sp macro="" textlink="">
      <xdr:nvSpPr>
        <xdr:cNvPr id="10" name="Oval 9"/>
        <xdr:cNvSpPr/>
      </xdr:nvSpPr>
      <xdr:spPr>
        <a:xfrm>
          <a:off x="5495925" y="3086100"/>
          <a:ext cx="44767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3</a:t>
          </a:r>
        </a:p>
      </xdr:txBody>
    </xdr:sp>
    <xdr:clientData/>
  </xdr:twoCellAnchor>
  <mc:AlternateContent xmlns:mc="http://schemas.openxmlformats.org/markup-compatibility/2006">
    <mc:Choice xmlns:a14="http://schemas.microsoft.com/office/drawing/2010/main" Requires="a14">
      <xdr:twoCellAnchor>
        <xdr:from>
          <xdr:col>12</xdr:col>
          <xdr:colOff>314325</xdr:colOff>
          <xdr:row>21</xdr:row>
          <xdr:rowOff>0</xdr:rowOff>
        </xdr:from>
        <xdr:to>
          <xdr:col>14</xdr:col>
          <xdr:colOff>76200</xdr:colOff>
          <xdr:row>22</xdr:row>
          <xdr:rowOff>114300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(4) Run DCGM</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314325</xdr:colOff>
          <xdr:row>23</xdr:row>
          <xdr:rowOff>76200</xdr:rowOff>
        </xdr:from>
        <xdr:to>
          <xdr:col>14</xdr:col>
          <xdr:colOff>95250</xdr:colOff>
          <xdr:row>24</xdr:row>
          <xdr:rowOff>152400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(5) Assign Flows</a:t>
              </a: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1181100</xdr:colOff>
          <xdr:row>8</xdr:row>
          <xdr:rowOff>9525</xdr:rowOff>
        </xdr:from>
        <xdr:to>
          <xdr:col>5</xdr:col>
          <xdr:colOff>819150</xdr:colOff>
          <xdr:row>9</xdr:row>
          <xdr:rowOff>152400</xdr:rowOff>
        </xdr:to>
        <xdr:sp macro="" textlink="">
          <xdr:nvSpPr>
            <xdr:cNvPr id="3082" name="Button 10" hidden="1">
              <a:extLst>
                <a:ext uri="{63B3BB69-23CF-44E3-9099-C40C66FF867C}">
                  <a14:compatExt spid="_x0000_s30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Clear</a:t>
              </a:r>
              <a:endParaRPr lang="en-GB"/>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228600</xdr:colOff>
      <xdr:row>0</xdr:row>
      <xdr:rowOff>114300</xdr:rowOff>
    </xdr:from>
    <xdr:to>
      <xdr:col>5</xdr:col>
      <xdr:colOff>209550</xdr:colOff>
      <xdr:row>9</xdr:row>
      <xdr:rowOff>161925</xdr:rowOff>
    </xdr:to>
    <xdr:pic>
      <xdr:nvPicPr>
        <xdr:cNvPr id="3"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114300"/>
          <a:ext cx="3124200" cy="176212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209550</xdr:colOff>
          <xdr:row>7</xdr:row>
          <xdr:rowOff>9525</xdr:rowOff>
        </xdr:from>
        <xdr:to>
          <xdr:col>7</xdr:col>
          <xdr:colOff>533400</xdr:colOff>
          <xdr:row>8</xdr:row>
          <xdr:rowOff>104775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Clear</a:t>
              </a:r>
              <a:endParaRPr lang="en-GB"/>
            </a:p>
          </xdr:txBody>
        </xdr:sp>
        <xdr:clientData fPrintsWithSheet="0"/>
      </xdr:twoCellAnchor>
    </mc:Choice>
    <mc:Fallback/>
  </mc:AlternateContent>
  <xdr:twoCellAnchor>
    <xdr:from>
      <xdr:col>9</xdr:col>
      <xdr:colOff>95250</xdr:colOff>
      <xdr:row>1</xdr:row>
      <xdr:rowOff>38100</xdr:rowOff>
    </xdr:from>
    <xdr:to>
      <xdr:col>9</xdr:col>
      <xdr:colOff>542925</xdr:colOff>
      <xdr:row>3</xdr:row>
      <xdr:rowOff>95250</xdr:rowOff>
    </xdr:to>
    <xdr:sp macro="" textlink="">
      <xdr:nvSpPr>
        <xdr:cNvPr id="4" name="Oval 3"/>
        <xdr:cNvSpPr/>
      </xdr:nvSpPr>
      <xdr:spPr>
        <a:xfrm>
          <a:off x="5819775" y="228600"/>
          <a:ext cx="44767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1</a:t>
          </a:r>
        </a:p>
      </xdr:txBody>
    </xdr:sp>
    <xdr:clientData/>
  </xdr:twoCellAnchor>
  <mc:AlternateContent xmlns:mc="http://schemas.openxmlformats.org/markup-compatibility/2006">
    <mc:Choice xmlns:a14="http://schemas.microsoft.com/office/drawing/2010/main" Requires="a14">
      <xdr:twoCellAnchor>
        <xdr:from>
          <xdr:col>10</xdr:col>
          <xdr:colOff>9525</xdr:colOff>
          <xdr:row>3</xdr:row>
          <xdr:rowOff>76200</xdr:rowOff>
        </xdr:from>
        <xdr:to>
          <xdr:col>14</xdr:col>
          <xdr:colOff>9525</xdr:colOff>
          <xdr:row>4</xdr:row>
          <xdr:rowOff>142875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Incremental Loading Technique</a:t>
              </a:r>
              <a:endParaRPr lang="en-GB"/>
            </a:p>
          </xdr:txBody>
        </xdr:sp>
        <xdr:clientData fPrintsWithSheet="0"/>
      </xdr:twoCellAnchor>
    </mc:Choice>
    <mc:Fallback/>
  </mc:AlternateContent>
  <xdr:twoCellAnchor>
    <xdr:from>
      <xdr:col>9</xdr:col>
      <xdr:colOff>123825</xdr:colOff>
      <xdr:row>6</xdr:row>
      <xdr:rowOff>9525</xdr:rowOff>
    </xdr:from>
    <xdr:to>
      <xdr:col>9</xdr:col>
      <xdr:colOff>571500</xdr:colOff>
      <xdr:row>8</xdr:row>
      <xdr:rowOff>66675</xdr:rowOff>
    </xdr:to>
    <xdr:sp macro="" textlink="">
      <xdr:nvSpPr>
        <xdr:cNvPr id="6" name="Oval 5"/>
        <xdr:cNvSpPr/>
      </xdr:nvSpPr>
      <xdr:spPr>
        <a:xfrm>
          <a:off x="5848350" y="1152525"/>
          <a:ext cx="447675" cy="4381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400" b="1"/>
            <a:t>2</a:t>
          </a:r>
        </a:p>
      </xdr:txBody>
    </xdr:sp>
    <xdr:clientData/>
  </xdr:twoCellAnchor>
  <mc:AlternateContent xmlns:mc="http://schemas.openxmlformats.org/markup-compatibility/2006">
    <mc:Choice xmlns:a14="http://schemas.microsoft.com/office/drawing/2010/main" Requires="a14">
      <xdr:twoCellAnchor editAs="oneCell">
        <xdr:from>
          <xdr:col>10</xdr:col>
          <xdr:colOff>228600</xdr:colOff>
          <xdr:row>9</xdr:row>
          <xdr:rowOff>180975</xdr:rowOff>
        </xdr:from>
        <xdr:to>
          <xdr:col>10</xdr:col>
          <xdr:colOff>533400</xdr:colOff>
          <xdr:row>11</xdr:row>
          <xdr:rowOff>19050</xdr:rowOff>
        </xdr:to>
        <xdr:sp macro="" textlink="">
          <xdr:nvSpPr>
            <xdr:cNvPr id="4099" name="Option Button 3" hidden="1">
              <a:extLst>
                <a:ext uri="{63B3BB69-23CF-44E3-9099-C40C66FF867C}">
                  <a14:compatExt spid="_x0000_s4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10</xdr:row>
          <xdr:rowOff>171450</xdr:rowOff>
        </xdr:from>
        <xdr:to>
          <xdr:col>10</xdr:col>
          <xdr:colOff>533400</xdr:colOff>
          <xdr:row>12</xdr:row>
          <xdr:rowOff>9525</xdr:rowOff>
        </xdr:to>
        <xdr:sp macro="" textlink="">
          <xdr:nvSpPr>
            <xdr:cNvPr id="4100" name="Option Button 4" hidden="1">
              <a:extLst>
                <a:ext uri="{63B3BB69-23CF-44E3-9099-C40C66FF867C}">
                  <a14:compatExt spid="_x0000_s4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16</xdr:row>
          <xdr:rowOff>9525</xdr:rowOff>
        </xdr:from>
        <xdr:to>
          <xdr:col>13</xdr:col>
          <xdr:colOff>438150</xdr:colOff>
          <xdr:row>17</xdr:row>
          <xdr:rowOff>76200</xdr:rowOff>
        </xdr:to>
        <xdr:sp macro="" textlink="">
          <xdr:nvSpPr>
            <xdr:cNvPr id="4101" name="Button 5" hidden="1">
              <a:extLst>
                <a:ext uri="{63B3BB69-23CF-44E3-9099-C40C66FF867C}">
                  <a14:compatExt spid="_x0000_s41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1" i="0" u="none" strike="noStrike" baseline="0">
                  <a:solidFill>
                    <a:srgbClr val="000000"/>
                  </a:solidFill>
                  <a:latin typeface="Calibri"/>
                  <a:cs typeface="Calibri"/>
                </a:rPr>
                <a:t>Method of Successive Averages</a:t>
              </a:r>
              <a:endParaRPr lang="en-GB"/>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3:M23"/>
  <sheetViews>
    <sheetView topLeftCell="A2" workbookViewId="0">
      <selection activeCell="C23" sqref="C23"/>
    </sheetView>
  </sheetViews>
  <sheetFormatPr baseColWidth="10" defaultColWidth="9.140625" defaultRowHeight="15" x14ac:dyDescent="0.25"/>
  <cols>
    <col min="1" max="1" width="9.140625" style="31"/>
    <col min="2" max="2" width="9.140625" style="32"/>
    <col min="3" max="4" width="9.140625" style="31"/>
    <col min="5" max="5" width="4.140625" style="31" customWidth="1"/>
    <col min="6" max="16384" width="9.140625" style="31"/>
  </cols>
  <sheetData>
    <row r="3" spans="2:12" x14ac:dyDescent="0.25">
      <c r="C3" s="75" t="s">
        <v>70</v>
      </c>
      <c r="D3" s="76"/>
      <c r="E3" s="77"/>
    </row>
    <row r="4" spans="2:12" x14ac:dyDescent="0.25">
      <c r="C4" s="78"/>
      <c r="D4" s="79"/>
      <c r="E4" s="80"/>
    </row>
    <row r="5" spans="2:12" x14ac:dyDescent="0.25">
      <c r="C5" s="81"/>
      <c r="D5" s="82"/>
      <c r="E5" s="83"/>
    </row>
    <row r="7" spans="2:12" x14ac:dyDescent="0.25">
      <c r="B7" s="32" t="s">
        <v>71</v>
      </c>
      <c r="C7" s="31" t="s">
        <v>99</v>
      </c>
    </row>
    <row r="9" spans="2:12" ht="15.75" x14ac:dyDescent="0.25">
      <c r="B9" s="32" t="s">
        <v>72</v>
      </c>
      <c r="C9" s="31" t="s">
        <v>73</v>
      </c>
      <c r="J9" s="33" t="s">
        <v>78</v>
      </c>
      <c r="K9" s="34"/>
      <c r="L9" s="34" t="s">
        <v>79</v>
      </c>
    </row>
    <row r="11" spans="2:12" x14ac:dyDescent="0.25">
      <c r="B11" s="32" t="s">
        <v>74</v>
      </c>
      <c r="C11" s="31" t="s">
        <v>75</v>
      </c>
    </row>
    <row r="12" spans="2:12" ht="15.75" thickBot="1" x14ac:dyDescent="0.3"/>
    <row r="13" spans="2:12" ht="16.5" thickTop="1" thickBot="1" x14ac:dyDescent="0.3">
      <c r="C13" s="32" t="s">
        <v>76</v>
      </c>
      <c r="D13" s="30">
        <v>5</v>
      </c>
      <c r="F13" s="31" t="s">
        <v>100</v>
      </c>
    </row>
    <row r="14" spans="2:12" ht="15.75" thickTop="1" x14ac:dyDescent="0.25">
      <c r="C14" s="32"/>
    </row>
    <row r="15" spans="2:12" x14ac:dyDescent="0.25">
      <c r="C15" s="32" t="s">
        <v>77</v>
      </c>
      <c r="D15" s="48">
        <v>10</v>
      </c>
      <c r="F15" s="31" t="s">
        <v>92</v>
      </c>
    </row>
    <row r="16" spans="2:12" x14ac:dyDescent="0.25">
      <c r="C16" s="32"/>
    </row>
    <row r="17" spans="2:13" x14ac:dyDescent="0.25">
      <c r="C17" s="32" t="s">
        <v>80</v>
      </c>
      <c r="D17" s="37">
        <v>345</v>
      </c>
      <c r="F17" s="31" t="s">
        <v>81</v>
      </c>
    </row>
    <row r="18" spans="2:13" x14ac:dyDescent="0.25">
      <c r="C18" s="32"/>
    </row>
    <row r="19" spans="2:13" x14ac:dyDescent="0.25">
      <c r="C19" s="32" t="s">
        <v>82</v>
      </c>
      <c r="D19" s="36" t="s">
        <v>2</v>
      </c>
      <c r="F19" s="31" t="s">
        <v>83</v>
      </c>
    </row>
    <row r="20" spans="2:13" x14ac:dyDescent="0.25">
      <c r="C20" s="32"/>
    </row>
    <row r="21" spans="2:13" x14ac:dyDescent="0.25">
      <c r="C21" s="32" t="s">
        <v>87</v>
      </c>
      <c r="D21" s="58" t="s">
        <v>88</v>
      </c>
      <c r="F21" s="31" t="s">
        <v>89</v>
      </c>
    </row>
    <row r="22" spans="2:13" x14ac:dyDescent="0.25">
      <c r="C22" s="32"/>
    </row>
    <row r="23" spans="2:13" x14ac:dyDescent="0.25">
      <c r="B23" s="32" t="s">
        <v>84</v>
      </c>
      <c r="C23" s="38" t="s">
        <v>85</v>
      </c>
      <c r="M23" s="31" t="s">
        <v>86</v>
      </c>
    </row>
  </sheetData>
  <mergeCells count="1">
    <mergeCell ref="C3:E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Example">
                <anchor moveWithCells="1" sizeWithCells="1">
                  <from>
                    <xdr:col>10</xdr:col>
                    <xdr:colOff>361950</xdr:colOff>
                    <xdr:row>21</xdr:row>
                    <xdr:rowOff>161925</xdr:rowOff>
                  </from>
                  <to>
                    <xdr:col>12</xdr:col>
                    <xdr:colOff>0</xdr:colOff>
                    <xdr:row>23</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66"/>
  <sheetViews>
    <sheetView workbookViewId="0">
      <selection activeCell="C5" sqref="C5"/>
    </sheetView>
  </sheetViews>
  <sheetFormatPr baseColWidth="10" defaultColWidth="9.140625" defaultRowHeight="15" x14ac:dyDescent="0.25"/>
  <cols>
    <col min="1" max="1" width="9.140625" style="2"/>
    <col min="2" max="3" width="2.7109375" style="2" bestFit="1" customWidth="1"/>
    <col min="4" max="4" width="6" style="2" bestFit="1" customWidth="1"/>
    <col min="5" max="5" width="4.85546875" style="2" bestFit="1" customWidth="1"/>
    <col min="6" max="6" width="5.28515625" style="2" bestFit="1" customWidth="1"/>
    <col min="7" max="7" width="3.140625" style="2" customWidth="1"/>
    <col min="8" max="8" width="9.140625" style="2"/>
    <col min="9" max="9" width="5.85546875" style="2" bestFit="1" customWidth="1"/>
    <col min="10" max="10" width="12.7109375" style="2" bestFit="1" customWidth="1"/>
    <col min="11" max="11" width="12.42578125" style="2" customWidth="1"/>
    <col min="12" max="12" width="11" style="2" bestFit="1" customWidth="1"/>
    <col min="13" max="14" width="2" style="2" customWidth="1"/>
    <col min="15" max="15" width="3.42578125" style="2" bestFit="1" customWidth="1"/>
    <col min="16" max="16" width="4" style="2" bestFit="1" customWidth="1"/>
    <col min="17" max="17" width="4" style="4" bestFit="1" customWidth="1"/>
    <col min="18" max="18" width="4.28515625" style="4" customWidth="1"/>
    <col min="19" max="19" width="4.28515625" style="2" customWidth="1"/>
    <col min="20" max="20" width="3.28515625" style="2" bestFit="1" customWidth="1"/>
    <col min="21" max="21" width="3.42578125" style="2" bestFit="1" customWidth="1"/>
    <col min="22" max="22" width="3.28515625" style="2" customWidth="1"/>
    <col min="23" max="23" width="9.140625" style="2" customWidth="1"/>
    <col min="24" max="16384" width="9.140625" style="2"/>
  </cols>
  <sheetData>
    <row r="1" spans="1:28" x14ac:dyDescent="0.25">
      <c r="A1" s="1" t="s">
        <v>0</v>
      </c>
      <c r="Q1" s="2"/>
      <c r="R1" s="2"/>
    </row>
    <row r="2" spans="1:28" ht="15.75" thickBot="1" x14ac:dyDescent="0.3">
      <c r="O2" s="84" t="s">
        <v>103</v>
      </c>
      <c r="P2" s="85"/>
      <c r="Q2" s="85"/>
      <c r="R2" s="85"/>
      <c r="S2" s="85"/>
      <c r="T2" s="85"/>
      <c r="U2" s="85"/>
      <c r="V2" s="85"/>
    </row>
    <row r="3" spans="1:28" ht="16.5" thickTop="1" thickBot="1" x14ac:dyDescent="0.3">
      <c r="O3" s="35" t="s">
        <v>17</v>
      </c>
      <c r="P3" s="35" t="s">
        <v>18</v>
      </c>
      <c r="Q3" s="35" t="s">
        <v>17</v>
      </c>
      <c r="R3" s="35" t="s">
        <v>19</v>
      </c>
      <c r="S3" s="35" t="s">
        <v>20</v>
      </c>
      <c r="T3" s="35" t="s">
        <v>18</v>
      </c>
      <c r="U3" s="35" t="s">
        <v>20</v>
      </c>
      <c r="V3" s="35" t="s">
        <v>19</v>
      </c>
      <c r="W3" s="3"/>
    </row>
    <row r="4" spans="1:28" ht="15.75" thickTop="1" x14ac:dyDescent="0.25">
      <c r="O4" s="62" t="str">
        <f>I12</f>
        <v>A</v>
      </c>
      <c r="P4" s="62" t="str">
        <f>K12</f>
        <v>L</v>
      </c>
      <c r="Q4" s="62" t="str">
        <f>I12</f>
        <v>A</v>
      </c>
      <c r="R4" s="62" t="str">
        <f>K13</f>
        <v>M</v>
      </c>
      <c r="S4" s="62" t="str">
        <f>I13</f>
        <v>B</v>
      </c>
      <c r="T4" s="62" t="str">
        <f>K12</f>
        <v>L</v>
      </c>
      <c r="U4" s="62" t="str">
        <f>I13</f>
        <v>B</v>
      </c>
      <c r="V4" s="62" t="str">
        <f>K13</f>
        <v>M</v>
      </c>
      <c r="W4" s="3"/>
    </row>
    <row r="5" spans="1:28" x14ac:dyDescent="0.25">
      <c r="M5" s="8"/>
      <c r="N5" s="8"/>
      <c r="O5" s="86"/>
      <c r="P5" s="86"/>
      <c r="Q5" s="86"/>
      <c r="R5" s="86"/>
      <c r="S5" s="86"/>
      <c r="T5" s="86"/>
      <c r="U5" s="86"/>
      <c r="V5" s="86"/>
      <c r="W5" s="69" t="s">
        <v>95</v>
      </c>
      <c r="X5" s="70" t="s">
        <v>96</v>
      </c>
      <c r="Y5" s="8"/>
      <c r="Z5" s="8"/>
      <c r="AA5" s="8"/>
      <c r="AB5" s="8"/>
    </row>
    <row r="6" spans="1:28" x14ac:dyDescent="0.25">
      <c r="M6" s="8"/>
      <c r="N6" s="8"/>
      <c r="O6" s="86"/>
      <c r="P6" s="86"/>
      <c r="Q6" s="86"/>
      <c r="R6" s="86"/>
      <c r="S6" s="86"/>
      <c r="T6" s="86"/>
      <c r="U6" s="86"/>
      <c r="V6" s="86"/>
      <c r="W6" s="69" t="s">
        <v>95</v>
      </c>
      <c r="X6" s="70" t="s">
        <v>97</v>
      </c>
      <c r="Y6" s="8"/>
      <c r="Z6" s="8"/>
      <c r="AA6" s="8"/>
      <c r="AB6" s="8"/>
    </row>
    <row r="7" spans="1:28" x14ac:dyDescent="0.25">
      <c r="M7" s="8"/>
      <c r="N7" s="8"/>
      <c r="O7" s="86"/>
      <c r="P7" s="86"/>
      <c r="Q7" s="86"/>
      <c r="R7" s="86"/>
      <c r="S7" s="86"/>
      <c r="T7" s="86"/>
      <c r="U7" s="86"/>
      <c r="V7" s="86"/>
      <c r="W7" s="68"/>
      <c r="X7" s="8" t="s">
        <v>98</v>
      </c>
      <c r="Y7" s="8"/>
      <c r="Z7" s="8"/>
      <c r="AA7" s="8"/>
      <c r="AB7" s="8"/>
    </row>
    <row r="8" spans="1:28" x14ac:dyDescent="0.25">
      <c r="M8" s="8"/>
      <c r="N8" s="8"/>
      <c r="O8" s="86"/>
      <c r="P8" s="86"/>
      <c r="Q8" s="86"/>
      <c r="R8" s="86"/>
      <c r="S8" s="86"/>
      <c r="T8" s="86"/>
      <c r="U8" s="86"/>
      <c r="V8" s="86"/>
      <c r="W8" s="68"/>
      <c r="X8" s="8" t="s">
        <v>98</v>
      </c>
      <c r="Y8" s="8"/>
      <c r="Z8" s="8"/>
      <c r="AA8" s="8"/>
      <c r="AB8" s="8"/>
    </row>
    <row r="9" spans="1:28" x14ac:dyDescent="0.25">
      <c r="M9" s="8"/>
      <c r="N9" s="8"/>
      <c r="O9" s="86"/>
      <c r="P9" s="86"/>
      <c r="Q9" s="86"/>
      <c r="R9" s="86"/>
      <c r="S9" s="86"/>
      <c r="T9" s="86"/>
      <c r="U9" s="86"/>
      <c r="V9" s="86"/>
      <c r="W9" s="68"/>
      <c r="X9" s="8" t="s">
        <v>98</v>
      </c>
      <c r="Y9" s="8"/>
      <c r="Z9" s="8"/>
      <c r="AA9" s="8"/>
      <c r="AB9" s="8"/>
    </row>
    <row r="10" spans="1:28" x14ac:dyDescent="0.25">
      <c r="M10" s="8"/>
      <c r="N10" s="8"/>
      <c r="O10" s="86"/>
      <c r="P10" s="86"/>
      <c r="Q10" s="86"/>
      <c r="R10" s="86"/>
      <c r="S10" s="86"/>
      <c r="T10" s="86"/>
      <c r="U10" s="86"/>
      <c r="V10" s="86"/>
      <c r="W10" s="68"/>
      <c r="X10" s="8"/>
      <c r="Y10" s="8"/>
      <c r="Z10" s="8"/>
      <c r="AA10" s="8"/>
      <c r="AB10" s="8"/>
    </row>
    <row r="11" spans="1:28" ht="15.75" thickBot="1" x14ac:dyDescent="0.3">
      <c r="M11" s="8"/>
      <c r="N11" s="8"/>
      <c r="O11" s="7"/>
      <c r="P11" s="7"/>
      <c r="Q11" s="7"/>
      <c r="R11" s="7"/>
      <c r="S11" s="7"/>
      <c r="T11" s="7"/>
      <c r="U11" s="7"/>
      <c r="V11" s="7"/>
      <c r="W11" s="68"/>
      <c r="X11" s="8"/>
      <c r="Y11" s="8"/>
      <c r="Z11" s="8"/>
      <c r="AA11" s="8"/>
      <c r="AB11" s="8"/>
    </row>
    <row r="12" spans="1:28" ht="16.5" thickTop="1" thickBot="1" x14ac:dyDescent="0.3">
      <c r="E12" s="4"/>
      <c r="H12" s="54" t="s">
        <v>28</v>
      </c>
      <c r="I12" s="48" t="s">
        <v>4</v>
      </c>
      <c r="J12" s="54" t="s">
        <v>93</v>
      </c>
      <c r="K12" s="48" t="s">
        <v>15</v>
      </c>
      <c r="M12" s="90" t="s">
        <v>101</v>
      </c>
      <c r="N12" s="90"/>
      <c r="O12" s="90"/>
      <c r="P12" s="90"/>
      <c r="Q12" s="90"/>
      <c r="R12" s="90"/>
      <c r="S12" s="90"/>
      <c r="T12" s="90"/>
      <c r="U12" s="90"/>
      <c r="V12" s="90"/>
      <c r="W12" s="90"/>
      <c r="X12" s="90"/>
      <c r="Y12" s="90"/>
      <c r="Z12" s="90"/>
      <c r="AA12" s="90"/>
      <c r="AB12" s="90"/>
    </row>
    <row r="13" spans="1:28" ht="16.5" customHeight="1" thickTop="1" thickBot="1" x14ac:dyDescent="0.3">
      <c r="E13" s="4"/>
      <c r="H13" s="54" t="s">
        <v>29</v>
      </c>
      <c r="I13" s="48" t="s">
        <v>5</v>
      </c>
      <c r="J13" s="54" t="s">
        <v>94</v>
      </c>
      <c r="K13" s="48" t="s">
        <v>16</v>
      </c>
      <c r="M13" s="90"/>
      <c r="N13" s="90"/>
      <c r="O13" s="90"/>
      <c r="P13" s="90"/>
      <c r="Q13" s="90"/>
      <c r="R13" s="90"/>
      <c r="S13" s="90"/>
      <c r="T13" s="90"/>
      <c r="U13" s="90"/>
      <c r="V13" s="90"/>
      <c r="W13" s="90"/>
      <c r="X13" s="90"/>
      <c r="Y13" s="90"/>
      <c r="Z13" s="90"/>
      <c r="AA13" s="90"/>
      <c r="AB13" s="90"/>
    </row>
    <row r="14" spans="1:28" ht="16.5" thickTop="1" thickBot="1" x14ac:dyDescent="0.3">
      <c r="E14" s="4"/>
      <c r="M14" s="67"/>
      <c r="N14" s="67"/>
      <c r="O14" s="67"/>
      <c r="P14" s="67"/>
      <c r="Q14" s="67"/>
      <c r="R14" s="67"/>
      <c r="S14" s="67"/>
      <c r="T14" s="67"/>
      <c r="U14" s="67"/>
      <c r="V14" s="67"/>
      <c r="W14" s="67"/>
      <c r="X14" s="67"/>
      <c r="Y14" s="67"/>
      <c r="Z14" s="67"/>
      <c r="AA14" s="67"/>
      <c r="AB14" s="66"/>
    </row>
    <row r="15" spans="1:28" ht="16.5" thickTop="1" thickBot="1" x14ac:dyDescent="0.3">
      <c r="B15" s="88" t="s">
        <v>31</v>
      </c>
      <c r="C15" s="88"/>
      <c r="D15" s="88"/>
      <c r="E15" s="88"/>
      <c r="F15" s="88"/>
      <c r="H15" s="52" t="s">
        <v>27</v>
      </c>
      <c r="I15" s="54">
        <f>COUNTA(I18:I30)</f>
        <v>13</v>
      </c>
      <c r="M15" s="8"/>
      <c r="N15" s="8"/>
      <c r="O15" s="7"/>
      <c r="P15" s="9"/>
      <c r="Q15" s="9"/>
      <c r="R15" s="10"/>
      <c r="S15" s="10"/>
      <c r="T15" s="10"/>
      <c r="U15" s="7"/>
      <c r="V15" s="7"/>
      <c r="W15" s="8"/>
      <c r="X15" s="8"/>
      <c r="Y15" s="8"/>
      <c r="Z15" s="8"/>
      <c r="AA15" s="8"/>
      <c r="AB15" s="8"/>
    </row>
    <row r="16" spans="1:28" ht="15.75" thickTop="1" x14ac:dyDescent="0.25">
      <c r="O16" s="9"/>
      <c r="P16" s="7"/>
      <c r="Q16" s="7"/>
      <c r="R16" s="10"/>
      <c r="S16" s="10"/>
      <c r="T16" s="10"/>
      <c r="U16" s="7"/>
      <c r="V16" s="7"/>
    </row>
    <row r="17" spans="1:28" ht="15.75" thickBot="1" x14ac:dyDescent="0.3">
      <c r="A17" s="1"/>
      <c r="B17" s="87" t="s">
        <v>1</v>
      </c>
      <c r="C17" s="87"/>
      <c r="D17" s="39" t="s">
        <v>26</v>
      </c>
      <c r="E17" s="40" t="s">
        <v>2</v>
      </c>
      <c r="F17" s="39" t="s">
        <v>21</v>
      </c>
      <c r="H17" s="39" t="s">
        <v>25</v>
      </c>
      <c r="I17" s="39" t="s">
        <v>22</v>
      </c>
      <c r="J17" s="39" t="s">
        <v>3</v>
      </c>
      <c r="K17" s="39" t="s">
        <v>23</v>
      </c>
      <c r="L17" s="39" t="s">
        <v>24</v>
      </c>
      <c r="O17" s="9"/>
      <c r="P17" s="41" t="s">
        <v>18</v>
      </c>
      <c r="Q17" s="41" t="s">
        <v>19</v>
      </c>
      <c r="R17" s="89" t="s">
        <v>32</v>
      </c>
      <c r="S17" s="89"/>
      <c r="T17" s="10"/>
      <c r="U17" s="7"/>
      <c r="V17" s="7"/>
    </row>
    <row r="18" spans="1:28" ht="16.5" thickTop="1" thickBot="1" x14ac:dyDescent="0.3">
      <c r="B18" s="35" t="s">
        <v>4</v>
      </c>
      <c r="C18" s="35" t="s">
        <v>5</v>
      </c>
      <c r="D18" s="35">
        <v>0</v>
      </c>
      <c r="E18" s="63">
        <v>7</v>
      </c>
      <c r="F18" s="56">
        <v>0</v>
      </c>
      <c r="H18" s="30">
        <f>VLOOKUP(I18,$B$18:$D$65,3,FALSE)</f>
        <v>0</v>
      </c>
      <c r="I18" s="30" t="s">
        <v>4</v>
      </c>
      <c r="J18" s="6"/>
      <c r="K18" s="6"/>
      <c r="L18" s="6"/>
      <c r="O18" s="39" t="s">
        <v>17</v>
      </c>
      <c r="P18" s="11"/>
      <c r="Q18" s="11"/>
      <c r="R18" s="89"/>
      <c r="S18" s="89"/>
      <c r="T18" s="8"/>
      <c r="U18" s="8"/>
      <c r="V18" s="8"/>
    </row>
    <row r="19" spans="1:28" ht="16.5" thickTop="1" thickBot="1" x14ac:dyDescent="0.3">
      <c r="B19" s="35" t="s">
        <v>4</v>
      </c>
      <c r="C19" s="35" t="s">
        <v>6</v>
      </c>
      <c r="D19" s="35">
        <v>1</v>
      </c>
      <c r="E19" s="63">
        <v>5</v>
      </c>
      <c r="F19" s="74">
        <v>0</v>
      </c>
      <c r="H19" s="30">
        <f t="shared" ref="H19:H30" si="0">VLOOKUP(I19,$B$18:$D$65,3,FALSE)</f>
        <v>3</v>
      </c>
      <c r="I19" s="30" t="s">
        <v>5</v>
      </c>
      <c r="J19" s="6"/>
      <c r="K19" s="6"/>
      <c r="L19" s="6"/>
      <c r="O19" s="39" t="s">
        <v>20</v>
      </c>
      <c r="P19" s="11"/>
      <c r="Q19" s="11"/>
      <c r="R19" s="89"/>
      <c r="S19" s="89"/>
      <c r="T19" s="8"/>
      <c r="U19" s="8"/>
      <c r="V19" s="8"/>
    </row>
    <row r="20" spans="1:28" ht="16.5" thickTop="1" thickBot="1" x14ac:dyDescent="0.3">
      <c r="B20" s="35" t="s">
        <v>4</v>
      </c>
      <c r="C20" s="35" t="s">
        <v>7</v>
      </c>
      <c r="D20" s="35">
        <v>2</v>
      </c>
      <c r="E20" s="63">
        <v>15</v>
      </c>
      <c r="F20" s="74">
        <v>0</v>
      </c>
      <c r="H20" s="30">
        <f t="shared" si="0"/>
        <v>6</v>
      </c>
      <c r="I20" s="30" t="s">
        <v>6</v>
      </c>
      <c r="J20" s="6"/>
      <c r="K20" s="6"/>
      <c r="L20" s="6"/>
    </row>
    <row r="21" spans="1:28" ht="16.5" thickTop="1" thickBot="1" x14ac:dyDescent="0.3">
      <c r="B21" s="35" t="s">
        <v>5</v>
      </c>
      <c r="C21" s="35" t="s">
        <v>4</v>
      </c>
      <c r="D21" s="35">
        <v>3</v>
      </c>
      <c r="E21" s="63">
        <v>7</v>
      </c>
      <c r="F21" s="74">
        <v>0</v>
      </c>
      <c r="H21" s="30">
        <f t="shared" si="0"/>
        <v>10</v>
      </c>
      <c r="I21" s="30" t="s">
        <v>7</v>
      </c>
      <c r="J21" s="6"/>
      <c r="K21" s="6"/>
      <c r="L21" s="6"/>
      <c r="O21" s="9"/>
      <c r="P21" s="41" t="s">
        <v>18</v>
      </c>
      <c r="Q21" s="41" t="s">
        <v>19</v>
      </c>
      <c r="R21" s="89" t="s">
        <v>53</v>
      </c>
      <c r="S21" s="89"/>
    </row>
    <row r="22" spans="1:28" ht="16.5" thickTop="1" thickBot="1" x14ac:dyDescent="0.3">
      <c r="B22" s="35" t="s">
        <v>5</v>
      </c>
      <c r="C22" s="35" t="s">
        <v>7</v>
      </c>
      <c r="D22" s="35">
        <v>4</v>
      </c>
      <c r="E22" s="63">
        <v>11</v>
      </c>
      <c r="F22" s="74">
        <v>0</v>
      </c>
      <c r="H22" s="30">
        <f t="shared" si="0"/>
        <v>16</v>
      </c>
      <c r="I22" s="30" t="s">
        <v>8</v>
      </c>
      <c r="J22" s="6"/>
      <c r="K22" s="6"/>
      <c r="L22" s="6"/>
      <c r="M22" s="5"/>
      <c r="N22" s="5"/>
      <c r="O22" s="39" t="s">
        <v>17</v>
      </c>
      <c r="P22" s="57">
        <v>600</v>
      </c>
      <c r="Q22" s="57">
        <v>400</v>
      </c>
      <c r="R22" s="89"/>
      <c r="S22" s="89"/>
      <c r="T22" s="5"/>
    </row>
    <row r="23" spans="1:28" ht="16.5" thickTop="1" thickBot="1" x14ac:dyDescent="0.3">
      <c r="B23" s="35" t="s">
        <v>5</v>
      </c>
      <c r="C23" s="35" t="s">
        <v>8</v>
      </c>
      <c r="D23" s="35">
        <v>5</v>
      </c>
      <c r="E23" s="63">
        <v>11</v>
      </c>
      <c r="F23" s="74">
        <v>0</v>
      </c>
      <c r="H23" s="30">
        <f t="shared" si="0"/>
        <v>19</v>
      </c>
      <c r="I23" s="30" t="s">
        <v>9</v>
      </c>
      <c r="J23" s="6"/>
      <c r="K23" s="6"/>
      <c r="L23" s="6"/>
      <c r="M23" s="5"/>
      <c r="N23" s="5"/>
      <c r="O23" s="39" t="s">
        <v>20</v>
      </c>
      <c r="P23" s="57">
        <v>300</v>
      </c>
      <c r="Q23" s="57">
        <v>400</v>
      </c>
      <c r="R23" s="89"/>
      <c r="S23" s="89"/>
      <c r="T23" s="5"/>
    </row>
    <row r="24" spans="1:28" ht="16.5" thickTop="1" thickBot="1" x14ac:dyDescent="0.3">
      <c r="B24" s="35" t="s">
        <v>6</v>
      </c>
      <c r="C24" s="35" t="s">
        <v>4</v>
      </c>
      <c r="D24" s="35">
        <v>6</v>
      </c>
      <c r="E24" s="63">
        <v>5</v>
      </c>
      <c r="F24" s="74">
        <v>0</v>
      </c>
      <c r="H24" s="30">
        <f t="shared" si="0"/>
        <v>22</v>
      </c>
      <c r="I24" s="30" t="s">
        <v>10</v>
      </c>
      <c r="J24" s="6"/>
      <c r="K24" s="6"/>
      <c r="L24" s="6"/>
      <c r="M24" s="5"/>
      <c r="N24" s="5"/>
      <c r="O24" s="5"/>
      <c r="P24" s="5"/>
      <c r="Q24" s="5"/>
      <c r="R24" s="5"/>
      <c r="S24" s="5"/>
      <c r="T24" s="5"/>
      <c r="W24" s="91" t="s">
        <v>102</v>
      </c>
      <c r="X24" s="91"/>
      <c r="Y24" s="91"/>
      <c r="Z24" s="91"/>
      <c r="AA24" s="91"/>
      <c r="AB24" s="91"/>
    </row>
    <row r="25" spans="1:28" ht="16.5" thickTop="1" thickBot="1" x14ac:dyDescent="0.3">
      <c r="B25" s="35" t="s">
        <v>6</v>
      </c>
      <c r="C25" s="35" t="s">
        <v>7</v>
      </c>
      <c r="D25" s="35">
        <v>7</v>
      </c>
      <c r="E25" s="63">
        <v>7</v>
      </c>
      <c r="F25" s="74">
        <v>0</v>
      </c>
      <c r="H25" s="30">
        <f t="shared" si="0"/>
        <v>28</v>
      </c>
      <c r="I25" s="30" t="s">
        <v>11</v>
      </c>
      <c r="J25" s="6"/>
      <c r="K25" s="6"/>
      <c r="L25" s="6"/>
      <c r="M25" s="5"/>
      <c r="N25" s="5"/>
      <c r="O25" s="5"/>
      <c r="P25" s="5"/>
      <c r="Q25" s="5"/>
      <c r="R25" s="5"/>
      <c r="S25" s="5"/>
      <c r="T25" s="5"/>
      <c r="W25" s="91"/>
      <c r="X25" s="91"/>
      <c r="Y25" s="91"/>
      <c r="Z25" s="91"/>
      <c r="AA25" s="91"/>
      <c r="AB25" s="91"/>
    </row>
    <row r="26" spans="1:28" ht="16.5" thickTop="1" thickBot="1" x14ac:dyDescent="0.3">
      <c r="B26" s="35" t="s">
        <v>6</v>
      </c>
      <c r="C26" s="35" t="s">
        <v>9</v>
      </c>
      <c r="D26" s="35">
        <v>8</v>
      </c>
      <c r="E26" s="63">
        <v>11</v>
      </c>
      <c r="F26" s="74">
        <v>0</v>
      </c>
      <c r="H26" s="30">
        <f t="shared" si="0"/>
        <v>32</v>
      </c>
      <c r="I26" s="30" t="s">
        <v>12</v>
      </c>
      <c r="J26" s="6"/>
      <c r="K26" s="6"/>
      <c r="L26" s="6"/>
      <c r="M26" s="5"/>
      <c r="N26" s="5"/>
      <c r="O26" s="5"/>
      <c r="P26" s="5"/>
      <c r="Q26" s="5"/>
      <c r="R26" s="5"/>
      <c r="S26" s="5"/>
      <c r="T26" s="5"/>
      <c r="W26" s="91"/>
      <c r="X26" s="91"/>
      <c r="Y26" s="91"/>
      <c r="Z26" s="91"/>
      <c r="AA26" s="91"/>
      <c r="AB26" s="91"/>
    </row>
    <row r="27" spans="1:28" ht="16.5" customHeight="1" thickTop="1" thickBot="1" x14ac:dyDescent="0.3">
      <c r="B27" s="35" t="s">
        <v>6</v>
      </c>
      <c r="C27" s="35" t="s">
        <v>10</v>
      </c>
      <c r="D27" s="35">
        <v>9</v>
      </c>
      <c r="E27" s="63">
        <v>9</v>
      </c>
      <c r="F27" s="74">
        <v>0</v>
      </c>
      <c r="H27" s="30">
        <f t="shared" si="0"/>
        <v>35</v>
      </c>
      <c r="I27" s="30" t="s">
        <v>13</v>
      </c>
      <c r="J27" s="6"/>
      <c r="K27" s="6"/>
      <c r="L27" s="6"/>
      <c r="M27" s="5"/>
      <c r="N27" s="5"/>
      <c r="O27" s="5"/>
      <c r="P27" s="5"/>
      <c r="Q27" s="5"/>
      <c r="R27" s="5"/>
      <c r="S27" s="5"/>
      <c r="T27" s="5"/>
      <c r="W27" s="91"/>
      <c r="X27" s="91"/>
      <c r="Y27" s="91"/>
      <c r="Z27" s="91"/>
      <c r="AA27" s="91"/>
      <c r="AB27" s="91"/>
    </row>
    <row r="28" spans="1:28" ht="16.5" thickTop="1" thickBot="1" x14ac:dyDescent="0.3">
      <c r="B28" s="35" t="s">
        <v>7</v>
      </c>
      <c r="C28" s="35" t="s">
        <v>4</v>
      </c>
      <c r="D28" s="35">
        <v>10</v>
      </c>
      <c r="E28" s="63">
        <v>15</v>
      </c>
      <c r="F28" s="74">
        <v>0</v>
      </c>
      <c r="H28" s="30">
        <f t="shared" si="0"/>
        <v>40</v>
      </c>
      <c r="I28" s="30" t="s">
        <v>14</v>
      </c>
      <c r="J28" s="6"/>
      <c r="K28" s="6"/>
      <c r="L28" s="6"/>
      <c r="M28" s="4"/>
      <c r="N28" s="4"/>
      <c r="O28" s="4"/>
      <c r="P28" s="4"/>
      <c r="S28" s="4"/>
      <c r="T28" s="4"/>
    </row>
    <row r="29" spans="1:28" ht="16.5" thickTop="1" thickBot="1" x14ac:dyDescent="0.3">
      <c r="B29" s="35" t="s">
        <v>7</v>
      </c>
      <c r="C29" s="35" t="s">
        <v>5</v>
      </c>
      <c r="D29" s="35">
        <v>11</v>
      </c>
      <c r="E29" s="63">
        <v>11</v>
      </c>
      <c r="F29" s="74">
        <v>0</v>
      </c>
      <c r="H29" s="30">
        <f t="shared" si="0"/>
        <v>44</v>
      </c>
      <c r="I29" s="30" t="s">
        <v>15</v>
      </c>
      <c r="J29" s="6"/>
      <c r="K29" s="6"/>
      <c r="L29" s="6"/>
    </row>
    <row r="30" spans="1:28" ht="16.5" thickTop="1" thickBot="1" x14ac:dyDescent="0.3">
      <c r="B30" s="35" t="s">
        <v>7</v>
      </c>
      <c r="C30" s="35" t="s">
        <v>6</v>
      </c>
      <c r="D30" s="35">
        <v>12</v>
      </c>
      <c r="E30" s="63">
        <v>7</v>
      </c>
      <c r="F30" s="74">
        <v>0</v>
      </c>
      <c r="H30" s="30">
        <f t="shared" si="0"/>
        <v>46</v>
      </c>
      <c r="I30" s="30" t="s">
        <v>16</v>
      </c>
      <c r="J30" s="6"/>
      <c r="K30" s="6"/>
      <c r="L30" s="6"/>
    </row>
    <row r="31" spans="1:28" ht="16.5" thickTop="1" thickBot="1" x14ac:dyDescent="0.3">
      <c r="B31" s="35" t="s">
        <v>7</v>
      </c>
      <c r="C31" s="35" t="s">
        <v>8</v>
      </c>
      <c r="D31" s="35">
        <v>13</v>
      </c>
      <c r="E31" s="63">
        <v>7</v>
      </c>
      <c r="F31" s="74">
        <v>0</v>
      </c>
      <c r="H31" s="30">
        <f>D65+1</f>
        <v>48</v>
      </c>
      <c r="L31" s="4"/>
    </row>
    <row r="32" spans="1:28" ht="16.5" thickTop="1" thickBot="1" x14ac:dyDescent="0.3">
      <c r="B32" s="35" t="s">
        <v>7</v>
      </c>
      <c r="C32" s="35" t="s">
        <v>10</v>
      </c>
      <c r="D32" s="35">
        <v>14</v>
      </c>
      <c r="E32" s="63">
        <v>7</v>
      </c>
      <c r="F32" s="74">
        <v>0</v>
      </c>
    </row>
    <row r="33" spans="2:6" ht="16.5" thickTop="1" thickBot="1" x14ac:dyDescent="0.3">
      <c r="B33" s="35" t="s">
        <v>7</v>
      </c>
      <c r="C33" s="35" t="s">
        <v>11</v>
      </c>
      <c r="D33" s="35">
        <v>15</v>
      </c>
      <c r="E33" s="63">
        <v>9</v>
      </c>
      <c r="F33" s="74">
        <v>0</v>
      </c>
    </row>
    <row r="34" spans="2:6" ht="16.5" thickTop="1" thickBot="1" x14ac:dyDescent="0.3">
      <c r="B34" s="35" t="s">
        <v>8</v>
      </c>
      <c r="C34" s="35" t="s">
        <v>5</v>
      </c>
      <c r="D34" s="35">
        <v>16</v>
      </c>
      <c r="E34" s="63">
        <v>11</v>
      </c>
      <c r="F34" s="74">
        <v>0</v>
      </c>
    </row>
    <row r="35" spans="2:6" ht="16.5" thickTop="1" thickBot="1" x14ac:dyDescent="0.3">
      <c r="B35" s="35" t="s">
        <v>8</v>
      </c>
      <c r="C35" s="35" t="s">
        <v>7</v>
      </c>
      <c r="D35" s="35">
        <v>17</v>
      </c>
      <c r="E35" s="63">
        <v>7</v>
      </c>
      <c r="F35" s="74">
        <v>0</v>
      </c>
    </row>
    <row r="36" spans="2:6" ht="16.5" thickTop="1" thickBot="1" x14ac:dyDescent="0.3">
      <c r="B36" s="35" t="s">
        <v>8</v>
      </c>
      <c r="C36" s="35" t="s">
        <v>11</v>
      </c>
      <c r="D36" s="35">
        <v>18</v>
      </c>
      <c r="E36" s="63">
        <v>7</v>
      </c>
      <c r="F36" s="74">
        <v>0</v>
      </c>
    </row>
    <row r="37" spans="2:6" ht="16.5" thickTop="1" thickBot="1" x14ac:dyDescent="0.3">
      <c r="B37" s="35" t="s">
        <v>9</v>
      </c>
      <c r="C37" s="35" t="s">
        <v>6</v>
      </c>
      <c r="D37" s="35">
        <v>19</v>
      </c>
      <c r="E37" s="63">
        <v>11</v>
      </c>
      <c r="F37" s="74">
        <v>0</v>
      </c>
    </row>
    <row r="38" spans="2:6" ht="16.5" thickTop="1" thickBot="1" x14ac:dyDescent="0.3">
      <c r="B38" s="35" t="s">
        <v>9</v>
      </c>
      <c r="C38" s="35" t="s">
        <v>10</v>
      </c>
      <c r="D38" s="35">
        <v>20</v>
      </c>
      <c r="E38" s="63">
        <v>9</v>
      </c>
      <c r="F38" s="74">
        <v>0</v>
      </c>
    </row>
    <row r="39" spans="2:6" ht="16.5" thickTop="1" thickBot="1" x14ac:dyDescent="0.3">
      <c r="B39" s="35" t="s">
        <v>9</v>
      </c>
      <c r="C39" s="35" t="s">
        <v>12</v>
      </c>
      <c r="D39" s="35">
        <v>21</v>
      </c>
      <c r="E39" s="63">
        <v>13</v>
      </c>
      <c r="F39" s="74">
        <v>0</v>
      </c>
    </row>
    <row r="40" spans="2:6" ht="16.5" thickTop="1" thickBot="1" x14ac:dyDescent="0.3">
      <c r="B40" s="35" t="s">
        <v>10</v>
      </c>
      <c r="C40" s="35" t="s">
        <v>6</v>
      </c>
      <c r="D40" s="35">
        <v>22</v>
      </c>
      <c r="E40" s="63">
        <v>9</v>
      </c>
      <c r="F40" s="74">
        <v>0</v>
      </c>
    </row>
    <row r="41" spans="2:6" ht="16.5" thickTop="1" thickBot="1" x14ac:dyDescent="0.3">
      <c r="B41" s="35" t="s">
        <v>10</v>
      </c>
      <c r="C41" s="35" t="s">
        <v>7</v>
      </c>
      <c r="D41" s="35">
        <v>23</v>
      </c>
      <c r="E41" s="63">
        <v>7</v>
      </c>
      <c r="F41" s="74">
        <v>0</v>
      </c>
    </row>
    <row r="42" spans="2:6" ht="16.5" thickTop="1" thickBot="1" x14ac:dyDescent="0.3">
      <c r="B42" s="35" t="s">
        <v>10</v>
      </c>
      <c r="C42" s="35" t="s">
        <v>9</v>
      </c>
      <c r="D42" s="35">
        <v>24</v>
      </c>
      <c r="E42" s="63">
        <v>9</v>
      </c>
      <c r="F42" s="74">
        <v>0</v>
      </c>
    </row>
    <row r="43" spans="2:6" ht="16.5" thickTop="1" thickBot="1" x14ac:dyDescent="0.3">
      <c r="B43" s="35" t="s">
        <v>10</v>
      </c>
      <c r="C43" s="35" t="s">
        <v>11</v>
      </c>
      <c r="D43" s="35">
        <v>25</v>
      </c>
      <c r="E43" s="63">
        <v>9</v>
      </c>
      <c r="F43" s="74">
        <v>0</v>
      </c>
    </row>
    <row r="44" spans="2:6" ht="16.5" thickTop="1" thickBot="1" x14ac:dyDescent="0.3">
      <c r="B44" s="35" t="s">
        <v>10</v>
      </c>
      <c r="C44" s="35" t="s">
        <v>13</v>
      </c>
      <c r="D44" s="35">
        <v>26</v>
      </c>
      <c r="E44" s="63">
        <v>3</v>
      </c>
      <c r="F44" s="74">
        <v>0</v>
      </c>
    </row>
    <row r="45" spans="2:6" ht="16.5" thickTop="1" thickBot="1" x14ac:dyDescent="0.3">
      <c r="B45" s="35" t="s">
        <v>10</v>
      </c>
      <c r="C45" s="35" t="s">
        <v>14</v>
      </c>
      <c r="D45" s="35">
        <v>27</v>
      </c>
      <c r="E45" s="63">
        <v>13</v>
      </c>
      <c r="F45" s="74">
        <v>0</v>
      </c>
    </row>
    <row r="46" spans="2:6" ht="16.5" thickTop="1" thickBot="1" x14ac:dyDescent="0.3">
      <c r="B46" s="35" t="s">
        <v>11</v>
      </c>
      <c r="C46" s="35" t="s">
        <v>7</v>
      </c>
      <c r="D46" s="35">
        <v>28</v>
      </c>
      <c r="E46" s="63">
        <v>9</v>
      </c>
      <c r="F46" s="74">
        <v>0</v>
      </c>
    </row>
    <row r="47" spans="2:6" ht="16.5" thickTop="1" thickBot="1" x14ac:dyDescent="0.3">
      <c r="B47" s="35" t="s">
        <v>11</v>
      </c>
      <c r="C47" s="35" t="s">
        <v>8</v>
      </c>
      <c r="D47" s="35">
        <v>29</v>
      </c>
      <c r="E47" s="63">
        <v>7</v>
      </c>
      <c r="F47" s="74">
        <v>0</v>
      </c>
    </row>
    <row r="48" spans="2:6" ht="16.5" thickTop="1" thickBot="1" x14ac:dyDescent="0.3">
      <c r="B48" s="35" t="s">
        <v>11</v>
      </c>
      <c r="C48" s="35" t="s">
        <v>10</v>
      </c>
      <c r="D48" s="35">
        <v>30</v>
      </c>
      <c r="E48" s="63">
        <v>9</v>
      </c>
      <c r="F48" s="74">
        <v>0</v>
      </c>
    </row>
    <row r="49" spans="2:6" ht="16.5" thickTop="1" thickBot="1" x14ac:dyDescent="0.3">
      <c r="B49" s="35" t="s">
        <v>11</v>
      </c>
      <c r="C49" s="35" t="s">
        <v>14</v>
      </c>
      <c r="D49" s="35">
        <v>31</v>
      </c>
      <c r="E49" s="63">
        <v>3</v>
      </c>
      <c r="F49" s="74">
        <v>0</v>
      </c>
    </row>
    <row r="50" spans="2:6" ht="16.5" thickTop="1" thickBot="1" x14ac:dyDescent="0.3">
      <c r="B50" s="35" t="s">
        <v>12</v>
      </c>
      <c r="C50" s="35" t="s">
        <v>9</v>
      </c>
      <c r="D50" s="35">
        <v>32</v>
      </c>
      <c r="E50" s="63">
        <v>13</v>
      </c>
      <c r="F50" s="74">
        <v>0</v>
      </c>
    </row>
    <row r="51" spans="2:6" ht="16.5" thickTop="1" thickBot="1" x14ac:dyDescent="0.3">
      <c r="B51" s="35" t="s">
        <v>12</v>
      </c>
      <c r="C51" s="35" t="s">
        <v>13</v>
      </c>
      <c r="D51" s="35">
        <v>33</v>
      </c>
      <c r="E51" s="63">
        <v>9</v>
      </c>
      <c r="F51" s="74">
        <v>0</v>
      </c>
    </row>
    <row r="52" spans="2:6" ht="16.5" thickTop="1" thickBot="1" x14ac:dyDescent="0.3">
      <c r="B52" s="35" t="s">
        <v>12</v>
      </c>
      <c r="C52" s="35" t="s">
        <v>15</v>
      </c>
      <c r="D52" s="35">
        <v>34</v>
      </c>
      <c r="E52" s="63">
        <v>2</v>
      </c>
      <c r="F52" s="74">
        <v>0</v>
      </c>
    </row>
    <row r="53" spans="2:6" ht="16.5" thickTop="1" thickBot="1" x14ac:dyDescent="0.3">
      <c r="B53" s="35" t="s">
        <v>13</v>
      </c>
      <c r="C53" s="35" t="s">
        <v>10</v>
      </c>
      <c r="D53" s="35">
        <v>35</v>
      </c>
      <c r="E53" s="63">
        <v>3</v>
      </c>
      <c r="F53" s="74">
        <v>0</v>
      </c>
    </row>
    <row r="54" spans="2:6" ht="16.5" thickTop="1" thickBot="1" x14ac:dyDescent="0.3">
      <c r="B54" s="35" t="s">
        <v>13</v>
      </c>
      <c r="C54" s="35" t="s">
        <v>12</v>
      </c>
      <c r="D54" s="35">
        <v>36</v>
      </c>
      <c r="E54" s="63">
        <v>9</v>
      </c>
      <c r="F54" s="74">
        <v>0</v>
      </c>
    </row>
    <row r="55" spans="2:6" ht="16.5" thickTop="1" thickBot="1" x14ac:dyDescent="0.3">
      <c r="B55" s="35" t="s">
        <v>13</v>
      </c>
      <c r="C55" s="35" t="s">
        <v>15</v>
      </c>
      <c r="D55" s="35">
        <v>37</v>
      </c>
      <c r="E55" s="63">
        <v>12</v>
      </c>
      <c r="F55" s="74">
        <v>0</v>
      </c>
    </row>
    <row r="56" spans="2:6" ht="16.5" thickTop="1" thickBot="1" x14ac:dyDescent="0.3">
      <c r="B56" s="35" t="s">
        <v>13</v>
      </c>
      <c r="C56" s="35" t="s">
        <v>14</v>
      </c>
      <c r="D56" s="35">
        <v>38</v>
      </c>
      <c r="E56" s="63">
        <v>9</v>
      </c>
      <c r="F56" s="74">
        <v>0</v>
      </c>
    </row>
    <row r="57" spans="2:6" ht="16.5" thickTop="1" thickBot="1" x14ac:dyDescent="0.3">
      <c r="B57" s="35" t="s">
        <v>13</v>
      </c>
      <c r="C57" s="35" t="s">
        <v>16</v>
      </c>
      <c r="D57" s="35">
        <v>39</v>
      </c>
      <c r="E57" s="63">
        <v>12</v>
      </c>
      <c r="F57" s="74">
        <v>0</v>
      </c>
    </row>
    <row r="58" spans="2:6" ht="16.5" thickTop="1" thickBot="1" x14ac:dyDescent="0.3">
      <c r="B58" s="35" t="s">
        <v>14</v>
      </c>
      <c r="C58" s="35" t="s">
        <v>10</v>
      </c>
      <c r="D58" s="35">
        <v>40</v>
      </c>
      <c r="E58" s="63">
        <v>13</v>
      </c>
      <c r="F58" s="74">
        <v>0</v>
      </c>
    </row>
    <row r="59" spans="2:6" ht="16.5" thickTop="1" thickBot="1" x14ac:dyDescent="0.3">
      <c r="B59" s="35" t="s">
        <v>14</v>
      </c>
      <c r="C59" s="35" t="s">
        <v>11</v>
      </c>
      <c r="D59" s="35">
        <v>41</v>
      </c>
      <c r="E59" s="63">
        <v>3</v>
      </c>
      <c r="F59" s="74">
        <v>0</v>
      </c>
    </row>
    <row r="60" spans="2:6" ht="16.5" thickTop="1" thickBot="1" x14ac:dyDescent="0.3">
      <c r="B60" s="35" t="s">
        <v>14</v>
      </c>
      <c r="C60" s="35" t="s">
        <v>13</v>
      </c>
      <c r="D60" s="35">
        <v>42</v>
      </c>
      <c r="E60" s="63">
        <v>9</v>
      </c>
      <c r="F60" s="74">
        <v>0</v>
      </c>
    </row>
    <row r="61" spans="2:6" ht="16.5" thickTop="1" thickBot="1" x14ac:dyDescent="0.3">
      <c r="B61" s="35" t="s">
        <v>14</v>
      </c>
      <c r="C61" s="35" t="s">
        <v>16</v>
      </c>
      <c r="D61" s="35">
        <v>43</v>
      </c>
      <c r="E61" s="63">
        <v>2</v>
      </c>
      <c r="F61" s="74">
        <v>0</v>
      </c>
    </row>
    <row r="62" spans="2:6" ht="16.5" thickTop="1" thickBot="1" x14ac:dyDescent="0.3">
      <c r="B62" s="35" t="s">
        <v>15</v>
      </c>
      <c r="C62" s="35" t="s">
        <v>12</v>
      </c>
      <c r="D62" s="35">
        <v>44</v>
      </c>
      <c r="E62" s="63">
        <v>2</v>
      </c>
      <c r="F62" s="74">
        <v>0</v>
      </c>
    </row>
    <row r="63" spans="2:6" ht="16.5" thickTop="1" thickBot="1" x14ac:dyDescent="0.3">
      <c r="B63" s="35" t="s">
        <v>15</v>
      </c>
      <c r="C63" s="35" t="s">
        <v>13</v>
      </c>
      <c r="D63" s="35">
        <v>45</v>
      </c>
      <c r="E63" s="63">
        <v>12</v>
      </c>
      <c r="F63" s="74">
        <v>0</v>
      </c>
    </row>
    <row r="64" spans="2:6" ht="16.5" thickTop="1" thickBot="1" x14ac:dyDescent="0.3">
      <c r="B64" s="35" t="s">
        <v>16</v>
      </c>
      <c r="C64" s="35" t="s">
        <v>13</v>
      </c>
      <c r="D64" s="35">
        <v>46</v>
      </c>
      <c r="E64" s="63">
        <v>12</v>
      </c>
      <c r="F64" s="74">
        <v>0</v>
      </c>
    </row>
    <row r="65" spans="2:6" ht="16.5" thickTop="1" thickBot="1" x14ac:dyDescent="0.3">
      <c r="B65" s="35" t="s">
        <v>16</v>
      </c>
      <c r="C65" s="35" t="s">
        <v>14</v>
      </c>
      <c r="D65" s="35">
        <v>47</v>
      </c>
      <c r="E65" s="63">
        <v>2</v>
      </c>
      <c r="F65" s="74">
        <v>0</v>
      </c>
    </row>
    <row r="66" spans="2:6" ht="15.75" thickTop="1" x14ac:dyDescent="0.25">
      <c r="D66" s="4"/>
      <c r="F66" s="4"/>
    </row>
  </sheetData>
  <mergeCells count="31">
    <mergeCell ref="W24:AB27"/>
    <mergeCell ref="R21:S23"/>
    <mergeCell ref="Q6:R6"/>
    <mergeCell ref="S6:T6"/>
    <mergeCell ref="U6:V6"/>
    <mergeCell ref="B17:C17"/>
    <mergeCell ref="O10:P10"/>
    <mergeCell ref="B15:F15"/>
    <mergeCell ref="R17:S19"/>
    <mergeCell ref="M12:AB13"/>
    <mergeCell ref="O5:P5"/>
    <mergeCell ref="O6:P6"/>
    <mergeCell ref="O7:P7"/>
    <mergeCell ref="O8:P8"/>
    <mergeCell ref="O9:P9"/>
    <mergeCell ref="O2:V2"/>
    <mergeCell ref="Q9:R9"/>
    <mergeCell ref="S9:T9"/>
    <mergeCell ref="U9:V9"/>
    <mergeCell ref="Q10:R10"/>
    <mergeCell ref="S10:T10"/>
    <mergeCell ref="U10:V10"/>
    <mergeCell ref="Q7:R7"/>
    <mergeCell ref="S7:T7"/>
    <mergeCell ref="U7:V7"/>
    <mergeCell ref="Q8:R8"/>
    <mergeCell ref="S8:T8"/>
    <mergeCell ref="U8:V8"/>
    <mergeCell ref="Q5:R5"/>
    <mergeCell ref="S5:T5"/>
    <mergeCell ref="U5:V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GenerarRutas">
                <anchor moveWithCells="1" sizeWithCells="1">
                  <from>
                    <xdr:col>2</xdr:col>
                    <xdr:colOff>57150</xdr:colOff>
                    <xdr:row>10</xdr:row>
                    <xdr:rowOff>171450</xdr:rowOff>
                  </from>
                  <to>
                    <xdr:col>5</xdr:col>
                    <xdr:colOff>200025</xdr:colOff>
                    <xdr:row>13</xdr:row>
                    <xdr:rowOff>57150</xdr:rowOff>
                  </to>
                </anchor>
              </controlPr>
            </control>
          </mc:Choice>
        </mc:AlternateContent>
        <mc:AlternateContent xmlns:mc="http://schemas.openxmlformats.org/markup-compatibility/2006">
          <mc:Choice Requires="x14">
            <control shapeId="1026" r:id="rId4" name="Button 2">
              <controlPr defaultSize="0" print="0" autoFill="0" autoPict="0" macro="[0]!AsignarFlujos">
                <anchor moveWithCells="1" sizeWithCells="1">
                  <from>
                    <xdr:col>20</xdr:col>
                    <xdr:colOff>47625</xdr:colOff>
                    <xdr:row>20</xdr:row>
                    <xdr:rowOff>66675</xdr:rowOff>
                  </from>
                  <to>
                    <xdr:col>23</xdr:col>
                    <xdr:colOff>152400</xdr:colOff>
                    <xdr:row>22</xdr:row>
                    <xdr:rowOff>123825</xdr:rowOff>
                  </to>
                </anchor>
              </controlPr>
            </control>
          </mc:Choice>
        </mc:AlternateContent>
        <mc:AlternateContent xmlns:mc="http://schemas.openxmlformats.org/markup-compatibility/2006">
          <mc:Choice Requires="x14">
            <control shapeId="1027" r:id="rId5" name="Button 3">
              <controlPr defaultSize="0" print="0" autoFill="0" autoPict="0" macro="[0]!Clear1ab">
                <anchor moveWithCells="1" sizeWithCells="1">
                  <from>
                    <xdr:col>24</xdr:col>
                    <xdr:colOff>314325</xdr:colOff>
                    <xdr:row>16</xdr:row>
                    <xdr:rowOff>76200</xdr:rowOff>
                  </from>
                  <to>
                    <xdr:col>25</xdr:col>
                    <xdr:colOff>561975</xdr:colOff>
                    <xdr:row>17</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64"/>
  <sheetViews>
    <sheetView tabSelected="1" zoomScaleNormal="100" workbookViewId="0">
      <selection activeCell="V13" sqref="V13"/>
    </sheetView>
  </sheetViews>
  <sheetFormatPr baseColWidth="10" defaultColWidth="9.140625" defaultRowHeight="15" x14ac:dyDescent="0.25"/>
  <cols>
    <col min="1" max="1" width="6" style="2" bestFit="1" customWidth="1"/>
    <col min="2" max="3" width="2.7109375" style="2" bestFit="1" customWidth="1"/>
    <col min="4" max="4" width="10.140625" style="2" bestFit="1" customWidth="1"/>
    <col min="5" max="5" width="12.7109375" style="2" bestFit="1" customWidth="1"/>
    <col min="6" max="7" width="11.140625" style="2" customWidth="1"/>
    <col min="8" max="8" width="13.140625" style="2" customWidth="1"/>
    <col min="9" max="9" width="14.140625" style="2" customWidth="1"/>
    <col min="10" max="10" width="5.85546875" style="2" bestFit="1" customWidth="1"/>
    <col min="11" max="11" width="4.7109375" style="2" customWidth="1"/>
    <col min="12" max="12" width="7.28515625" style="2" customWidth="1"/>
    <col min="13" max="13" width="6.7109375" style="2" customWidth="1"/>
    <col min="14" max="14" width="9.5703125" style="2" bestFit="1" customWidth="1"/>
    <col min="15" max="15" width="11.28515625" style="2" customWidth="1"/>
    <col min="16" max="16" width="8.5703125" style="2" bestFit="1" customWidth="1"/>
    <col min="17" max="16384" width="9.140625" style="2"/>
  </cols>
  <sheetData>
    <row r="1" spans="1:21" x14ac:dyDescent="0.25">
      <c r="O1" s="85" t="s">
        <v>37</v>
      </c>
      <c r="P1" s="85"/>
    </row>
    <row r="2" spans="1:21" ht="15.75" thickBot="1" x14ac:dyDescent="0.3">
      <c r="I2" s="44" t="s">
        <v>90</v>
      </c>
      <c r="J2" s="39" t="s">
        <v>22</v>
      </c>
      <c r="L2" s="85" t="s">
        <v>36</v>
      </c>
      <c r="M2" s="85"/>
      <c r="N2" s="55" t="s">
        <v>52</v>
      </c>
      <c r="O2" s="39" t="s">
        <v>39</v>
      </c>
      <c r="P2" s="39" t="s">
        <v>40</v>
      </c>
    </row>
    <row r="3" spans="1:21" ht="16.5" thickTop="1" thickBot="1" x14ac:dyDescent="0.3">
      <c r="D3" s="22" t="s">
        <v>49</v>
      </c>
      <c r="E3" s="20" t="s">
        <v>50</v>
      </c>
      <c r="I3" s="39" t="s">
        <v>28</v>
      </c>
      <c r="J3" s="48" t="s">
        <v>4</v>
      </c>
      <c r="L3" s="54" t="str">
        <f>J3</f>
        <v>A</v>
      </c>
      <c r="M3" s="54" t="str">
        <f>J5</f>
        <v>L</v>
      </c>
      <c r="N3" s="71">
        <v>600</v>
      </c>
      <c r="O3" s="12"/>
      <c r="P3" s="12"/>
    </row>
    <row r="4" spans="1:21" ht="16.5" thickTop="1" thickBot="1" x14ac:dyDescent="0.3">
      <c r="D4" s="23">
        <v>2</v>
      </c>
      <c r="E4" s="24" t="b">
        <v>1</v>
      </c>
      <c r="I4" s="39" t="s">
        <v>29</v>
      </c>
      <c r="J4" s="48" t="s">
        <v>5</v>
      </c>
      <c r="L4" s="30" t="str">
        <f>J3</f>
        <v>A</v>
      </c>
      <c r="M4" s="54" t="str">
        <f>J6</f>
        <v>M</v>
      </c>
      <c r="N4" s="71">
        <v>400</v>
      </c>
      <c r="O4" s="12"/>
      <c r="P4" s="12"/>
    </row>
    <row r="5" spans="1:21" ht="16.5" thickTop="1" thickBot="1" x14ac:dyDescent="0.3">
      <c r="E5" s="21" t="b">
        <v>1</v>
      </c>
      <c r="I5" s="73" t="s">
        <v>93</v>
      </c>
      <c r="J5" s="48" t="s">
        <v>15</v>
      </c>
      <c r="L5" s="30" t="str">
        <f>J4</f>
        <v>B</v>
      </c>
      <c r="M5" s="54" t="str">
        <f>J5</f>
        <v>L</v>
      </c>
      <c r="N5" s="71">
        <v>300</v>
      </c>
      <c r="O5" s="12"/>
      <c r="P5" s="12"/>
    </row>
    <row r="6" spans="1:21" ht="16.5" thickTop="1" thickBot="1" x14ac:dyDescent="0.3">
      <c r="I6" s="73" t="s">
        <v>94</v>
      </c>
      <c r="J6" s="48" t="s">
        <v>16</v>
      </c>
      <c r="L6" s="30" t="str">
        <f>J4</f>
        <v>B</v>
      </c>
      <c r="M6" s="54" t="str">
        <f>J6</f>
        <v>M</v>
      </c>
      <c r="N6" s="71">
        <v>400</v>
      </c>
      <c r="O6" s="12"/>
      <c r="P6" s="12"/>
    </row>
    <row r="7" spans="1:21" ht="16.5" thickTop="1" thickBot="1" x14ac:dyDescent="0.3"/>
    <row r="8" spans="1:21" ht="15.75" thickBot="1" x14ac:dyDescent="0.3">
      <c r="I8" s="93" t="s">
        <v>30</v>
      </c>
      <c r="J8" s="94"/>
    </row>
    <row r="9" spans="1:21" x14ac:dyDescent="0.25">
      <c r="N9" s="4"/>
    </row>
    <row r="10" spans="1:21" ht="15.75" thickBot="1" x14ac:dyDescent="0.3">
      <c r="N10" s="4"/>
      <c r="Q10" s="72"/>
    </row>
    <row r="11" spans="1:21" ht="15.75" customHeight="1" thickBot="1" x14ac:dyDescent="0.3">
      <c r="K11" s="102" t="s">
        <v>41</v>
      </c>
      <c r="L11" s="103"/>
      <c r="M11" s="104"/>
      <c r="N11" s="4"/>
      <c r="O11" s="119" t="s">
        <v>104</v>
      </c>
      <c r="P11" s="120"/>
      <c r="Q11" s="120"/>
      <c r="R11" s="120"/>
      <c r="S11" s="121"/>
    </row>
    <row r="12" spans="1:21" x14ac:dyDescent="0.25">
      <c r="D12" s="92" t="s">
        <v>38</v>
      </c>
      <c r="E12" s="92"/>
      <c r="N12" s="4"/>
      <c r="O12" s="122"/>
      <c r="P12" s="123"/>
      <c r="Q12" s="123"/>
      <c r="R12" s="123"/>
      <c r="S12" s="124"/>
      <c r="U12" s="3"/>
    </row>
    <row r="13" spans="1:21" x14ac:dyDescent="0.25">
      <c r="N13" s="19"/>
    </row>
    <row r="14" spans="1:21" x14ac:dyDescent="0.25">
      <c r="F14" s="85" t="s">
        <v>39</v>
      </c>
      <c r="G14" s="85"/>
      <c r="H14" s="85" t="s">
        <v>40</v>
      </c>
      <c r="I14" s="85"/>
    </row>
    <row r="15" spans="1:21" ht="15.75" thickBot="1" x14ac:dyDescent="0.3">
      <c r="A15" s="39" t="s">
        <v>26</v>
      </c>
      <c r="B15" s="85" t="s">
        <v>1</v>
      </c>
      <c r="C15" s="85"/>
      <c r="D15" s="39" t="s">
        <v>33</v>
      </c>
      <c r="E15" s="39" t="s">
        <v>34</v>
      </c>
      <c r="F15" s="39" t="s">
        <v>21</v>
      </c>
      <c r="G15" s="39" t="s">
        <v>35</v>
      </c>
      <c r="H15" s="39" t="s">
        <v>21</v>
      </c>
      <c r="I15" s="39" t="s">
        <v>35</v>
      </c>
    </row>
    <row r="16" spans="1:21" ht="16.5" customHeight="1" thickTop="1" thickBot="1" x14ac:dyDescent="0.3">
      <c r="A16" s="30">
        <v>0</v>
      </c>
      <c r="B16" s="30" t="s">
        <v>4</v>
      </c>
      <c r="C16" s="54" t="s">
        <v>5</v>
      </c>
      <c r="D16" s="48">
        <v>7</v>
      </c>
      <c r="E16" s="48">
        <v>0.02</v>
      </c>
      <c r="F16" s="42"/>
      <c r="G16" s="43">
        <f>D16+E16*F16</f>
        <v>7</v>
      </c>
      <c r="H16" s="43"/>
      <c r="I16" s="43">
        <f>D16+E16*H16</f>
        <v>7</v>
      </c>
      <c r="K16" s="88" t="s">
        <v>91</v>
      </c>
      <c r="L16" s="88"/>
      <c r="M16" s="88"/>
      <c r="N16" s="88"/>
      <c r="O16" s="88"/>
      <c r="Q16" s="105" t="s">
        <v>105</v>
      </c>
      <c r="R16" s="106"/>
      <c r="S16" s="106"/>
      <c r="T16" s="107"/>
    </row>
    <row r="17" spans="1:20" ht="16.5" thickTop="1" thickBot="1" x14ac:dyDescent="0.3">
      <c r="A17" s="30">
        <v>1</v>
      </c>
      <c r="B17" s="30" t="s">
        <v>4</v>
      </c>
      <c r="C17" s="54" t="s">
        <v>6</v>
      </c>
      <c r="D17" s="48">
        <v>5</v>
      </c>
      <c r="E17" s="48">
        <v>0.02</v>
      </c>
      <c r="F17" s="42"/>
      <c r="G17" s="43">
        <f t="shared" ref="G17:G63" si="0">D17+E17*F17</f>
        <v>5</v>
      </c>
      <c r="H17" s="43"/>
      <c r="I17" s="43">
        <f t="shared" ref="I17:I63" si="1">D17+E17*H17</f>
        <v>5</v>
      </c>
      <c r="Q17" s="108"/>
      <c r="R17" s="109"/>
      <c r="S17" s="109"/>
      <c r="T17" s="110"/>
    </row>
    <row r="18" spans="1:20" ht="16.5" thickTop="1" thickBot="1" x14ac:dyDescent="0.3">
      <c r="A18" s="30">
        <v>2</v>
      </c>
      <c r="B18" s="30" t="s">
        <v>4</v>
      </c>
      <c r="C18" s="54" t="s">
        <v>7</v>
      </c>
      <c r="D18" s="48">
        <v>15</v>
      </c>
      <c r="E18" s="48">
        <v>0.02</v>
      </c>
      <c r="F18" s="42"/>
      <c r="G18" s="43">
        <f t="shared" si="0"/>
        <v>15</v>
      </c>
      <c r="H18" s="43"/>
      <c r="I18" s="43">
        <f t="shared" si="1"/>
        <v>15</v>
      </c>
      <c r="K18" s="95" t="s">
        <v>43</v>
      </c>
      <c r="L18" s="96"/>
      <c r="M18" s="97"/>
      <c r="N18" s="97"/>
      <c r="O18" s="98"/>
      <c r="Q18" s="108"/>
      <c r="R18" s="109"/>
      <c r="S18" s="109"/>
      <c r="T18" s="110"/>
    </row>
    <row r="19" spans="1:20" ht="16.5" thickTop="1" thickBot="1" x14ac:dyDescent="0.3">
      <c r="A19" s="30">
        <v>3</v>
      </c>
      <c r="B19" s="30" t="s">
        <v>5</v>
      </c>
      <c r="C19" s="54" t="s">
        <v>4</v>
      </c>
      <c r="D19" s="48">
        <v>7</v>
      </c>
      <c r="E19" s="48">
        <v>0.02</v>
      </c>
      <c r="F19" s="42"/>
      <c r="G19" s="43">
        <f t="shared" si="0"/>
        <v>7</v>
      </c>
      <c r="H19" s="43"/>
      <c r="I19" s="43">
        <f t="shared" si="1"/>
        <v>7</v>
      </c>
      <c r="K19" s="45"/>
      <c r="L19" s="46" t="s">
        <v>42</v>
      </c>
      <c r="M19" s="99" t="s">
        <v>46</v>
      </c>
      <c r="N19" s="100"/>
      <c r="O19" s="101"/>
      <c r="Q19" s="108"/>
      <c r="R19" s="109"/>
      <c r="S19" s="109"/>
      <c r="T19" s="110"/>
    </row>
    <row r="20" spans="1:20" ht="16.5" thickTop="1" thickBot="1" x14ac:dyDescent="0.3">
      <c r="A20" s="30">
        <v>4</v>
      </c>
      <c r="B20" s="30" t="s">
        <v>5</v>
      </c>
      <c r="C20" s="54" t="s">
        <v>7</v>
      </c>
      <c r="D20" s="48">
        <v>11</v>
      </c>
      <c r="E20" s="48">
        <v>0.02</v>
      </c>
      <c r="F20" s="42"/>
      <c r="G20" s="43">
        <f t="shared" si="0"/>
        <v>11</v>
      </c>
      <c r="H20" s="43"/>
      <c r="I20" s="43">
        <f t="shared" si="1"/>
        <v>11</v>
      </c>
      <c r="K20" s="47"/>
      <c r="L20" s="13" t="s">
        <v>44</v>
      </c>
      <c r="M20" s="15"/>
      <c r="N20" s="16" t="s">
        <v>47</v>
      </c>
      <c r="O20" s="59">
        <v>100</v>
      </c>
      <c r="Q20" s="108"/>
      <c r="R20" s="109"/>
      <c r="S20" s="109"/>
      <c r="T20" s="110"/>
    </row>
    <row r="21" spans="1:20" ht="16.5" thickTop="1" thickBot="1" x14ac:dyDescent="0.3">
      <c r="A21" s="30">
        <v>5</v>
      </c>
      <c r="B21" s="30" t="s">
        <v>5</v>
      </c>
      <c r="C21" s="54" t="s">
        <v>8</v>
      </c>
      <c r="D21" s="48">
        <v>11</v>
      </c>
      <c r="E21" s="48">
        <v>0.02</v>
      </c>
      <c r="F21" s="42"/>
      <c r="G21" s="43">
        <f t="shared" si="0"/>
        <v>11</v>
      </c>
      <c r="H21" s="43"/>
      <c r="I21" s="43">
        <f t="shared" si="1"/>
        <v>11</v>
      </c>
      <c r="K21" s="14" t="s">
        <v>45</v>
      </c>
      <c r="L21" s="61">
        <v>0.5</v>
      </c>
      <c r="M21" s="17"/>
      <c r="N21" s="18" t="s">
        <v>48</v>
      </c>
      <c r="O21" s="60">
        <v>0.01</v>
      </c>
      <c r="Q21" s="108"/>
      <c r="R21" s="109"/>
      <c r="S21" s="109"/>
      <c r="T21" s="110"/>
    </row>
    <row r="22" spans="1:20" ht="16.5" thickTop="1" thickBot="1" x14ac:dyDescent="0.3">
      <c r="A22" s="30">
        <v>6</v>
      </c>
      <c r="B22" s="30" t="s">
        <v>6</v>
      </c>
      <c r="C22" s="54" t="s">
        <v>4</v>
      </c>
      <c r="D22" s="48">
        <v>5</v>
      </c>
      <c r="E22" s="48">
        <v>0.02</v>
      </c>
      <c r="F22" s="42"/>
      <c r="G22" s="43">
        <f t="shared" si="0"/>
        <v>5</v>
      </c>
      <c r="H22" s="43"/>
      <c r="I22" s="43">
        <f t="shared" si="1"/>
        <v>5</v>
      </c>
      <c r="Q22" s="108"/>
      <c r="R22" s="109"/>
      <c r="S22" s="109"/>
      <c r="T22" s="110"/>
    </row>
    <row r="23" spans="1:20" ht="16.5" thickTop="1" thickBot="1" x14ac:dyDescent="0.3">
      <c r="A23" s="30">
        <v>7</v>
      </c>
      <c r="B23" s="30" t="s">
        <v>6</v>
      </c>
      <c r="C23" s="54" t="s">
        <v>7</v>
      </c>
      <c r="D23" s="48">
        <v>7</v>
      </c>
      <c r="E23" s="48">
        <v>0.02</v>
      </c>
      <c r="F23" s="42"/>
      <c r="G23" s="43">
        <f t="shared" si="0"/>
        <v>7</v>
      </c>
      <c r="H23" s="43"/>
      <c r="I23" s="43">
        <f t="shared" si="1"/>
        <v>7</v>
      </c>
      <c r="Q23" s="108"/>
      <c r="R23" s="109"/>
      <c r="S23" s="109"/>
      <c r="T23" s="110"/>
    </row>
    <row r="24" spans="1:20" ht="16.5" thickTop="1" thickBot="1" x14ac:dyDescent="0.3">
      <c r="A24" s="30">
        <v>8</v>
      </c>
      <c r="B24" s="30" t="s">
        <v>6</v>
      </c>
      <c r="C24" s="54" t="s">
        <v>9</v>
      </c>
      <c r="D24" s="48">
        <v>11</v>
      </c>
      <c r="E24" s="48">
        <v>0.02</v>
      </c>
      <c r="F24" s="42"/>
      <c r="G24" s="43">
        <f t="shared" si="0"/>
        <v>11</v>
      </c>
      <c r="H24" s="43"/>
      <c r="I24" s="43">
        <f t="shared" si="1"/>
        <v>11</v>
      </c>
      <c r="Q24" s="108"/>
      <c r="R24" s="109"/>
      <c r="S24" s="109"/>
      <c r="T24" s="110"/>
    </row>
    <row r="25" spans="1:20" ht="16.5" thickTop="1" thickBot="1" x14ac:dyDescent="0.3">
      <c r="A25" s="30">
        <v>9</v>
      </c>
      <c r="B25" s="30" t="s">
        <v>6</v>
      </c>
      <c r="C25" s="54" t="s">
        <v>10</v>
      </c>
      <c r="D25" s="48">
        <v>9</v>
      </c>
      <c r="E25" s="48">
        <v>0.02</v>
      </c>
      <c r="F25" s="42"/>
      <c r="G25" s="43">
        <f t="shared" si="0"/>
        <v>9</v>
      </c>
      <c r="H25" s="43"/>
      <c r="I25" s="43">
        <f t="shared" si="1"/>
        <v>9</v>
      </c>
      <c r="Q25" s="111"/>
      <c r="R25" s="112"/>
      <c r="S25" s="112"/>
      <c r="T25" s="113"/>
    </row>
    <row r="26" spans="1:20" ht="16.5" thickTop="1" thickBot="1" x14ac:dyDescent="0.3">
      <c r="A26" s="30">
        <v>10</v>
      </c>
      <c r="B26" s="30" t="s">
        <v>7</v>
      </c>
      <c r="C26" s="54" t="s">
        <v>4</v>
      </c>
      <c r="D26" s="48">
        <v>15</v>
      </c>
      <c r="E26" s="48">
        <v>0.02</v>
      </c>
      <c r="F26" s="42"/>
      <c r="G26" s="43">
        <f t="shared" si="0"/>
        <v>15</v>
      </c>
      <c r="H26" s="43"/>
      <c r="I26" s="43">
        <f t="shared" si="1"/>
        <v>15</v>
      </c>
    </row>
    <row r="27" spans="1:20" ht="16.5" thickTop="1" thickBot="1" x14ac:dyDescent="0.3">
      <c r="A27" s="30">
        <v>11</v>
      </c>
      <c r="B27" s="30" t="s">
        <v>7</v>
      </c>
      <c r="C27" s="54" t="s">
        <v>5</v>
      </c>
      <c r="D27" s="48">
        <v>11</v>
      </c>
      <c r="E27" s="48">
        <v>0.02</v>
      </c>
      <c r="F27" s="42"/>
      <c r="G27" s="43">
        <f t="shared" si="0"/>
        <v>11</v>
      </c>
      <c r="H27" s="43"/>
      <c r="I27" s="43">
        <f t="shared" si="1"/>
        <v>11</v>
      </c>
    </row>
    <row r="28" spans="1:20" ht="16.5" thickTop="1" thickBot="1" x14ac:dyDescent="0.3">
      <c r="A28" s="30">
        <v>12</v>
      </c>
      <c r="B28" s="30" t="s">
        <v>7</v>
      </c>
      <c r="C28" s="54" t="s">
        <v>6</v>
      </c>
      <c r="D28" s="48">
        <v>7</v>
      </c>
      <c r="E28" s="48">
        <v>0.02</v>
      </c>
      <c r="F28" s="42"/>
      <c r="G28" s="43">
        <f t="shared" si="0"/>
        <v>7</v>
      </c>
      <c r="H28" s="43"/>
      <c r="I28" s="43">
        <f t="shared" si="1"/>
        <v>7</v>
      </c>
    </row>
    <row r="29" spans="1:20" ht="16.5" thickTop="1" thickBot="1" x14ac:dyDescent="0.3">
      <c r="A29" s="30">
        <v>13</v>
      </c>
      <c r="B29" s="30" t="s">
        <v>7</v>
      </c>
      <c r="C29" s="54" t="s">
        <v>8</v>
      </c>
      <c r="D29" s="48">
        <v>7</v>
      </c>
      <c r="E29" s="48">
        <v>0.02</v>
      </c>
      <c r="F29" s="42"/>
      <c r="G29" s="43">
        <f t="shared" si="0"/>
        <v>7</v>
      </c>
      <c r="H29" s="43"/>
      <c r="I29" s="43">
        <f t="shared" si="1"/>
        <v>7</v>
      </c>
    </row>
    <row r="30" spans="1:20" ht="16.5" thickTop="1" thickBot="1" x14ac:dyDescent="0.3">
      <c r="A30" s="30">
        <v>14</v>
      </c>
      <c r="B30" s="30" t="s">
        <v>7</v>
      </c>
      <c r="C30" s="54" t="s">
        <v>10</v>
      </c>
      <c r="D30" s="48">
        <v>7</v>
      </c>
      <c r="E30" s="48">
        <v>0.02</v>
      </c>
      <c r="F30" s="42"/>
      <c r="G30" s="43">
        <f t="shared" si="0"/>
        <v>7</v>
      </c>
      <c r="H30" s="43"/>
      <c r="I30" s="43">
        <f t="shared" si="1"/>
        <v>7</v>
      </c>
    </row>
    <row r="31" spans="1:20" ht="16.5" thickTop="1" thickBot="1" x14ac:dyDescent="0.3">
      <c r="A31" s="30">
        <v>15</v>
      </c>
      <c r="B31" s="30" t="s">
        <v>7</v>
      </c>
      <c r="C31" s="54" t="s">
        <v>11</v>
      </c>
      <c r="D31" s="48">
        <v>9</v>
      </c>
      <c r="E31" s="48">
        <v>0.02</v>
      </c>
      <c r="F31" s="42"/>
      <c r="G31" s="43">
        <f t="shared" si="0"/>
        <v>9</v>
      </c>
      <c r="H31" s="43"/>
      <c r="I31" s="43">
        <f t="shared" si="1"/>
        <v>9</v>
      </c>
    </row>
    <row r="32" spans="1:20" ht="16.5" thickTop="1" thickBot="1" x14ac:dyDescent="0.3">
      <c r="A32" s="30">
        <v>16</v>
      </c>
      <c r="B32" s="30" t="s">
        <v>8</v>
      </c>
      <c r="C32" s="54" t="s">
        <v>5</v>
      </c>
      <c r="D32" s="48">
        <v>11</v>
      </c>
      <c r="E32" s="48">
        <v>0.02</v>
      </c>
      <c r="F32" s="42"/>
      <c r="G32" s="43">
        <f t="shared" si="0"/>
        <v>11</v>
      </c>
      <c r="H32" s="43"/>
      <c r="I32" s="43">
        <f t="shared" si="1"/>
        <v>11</v>
      </c>
    </row>
    <row r="33" spans="1:9" ht="16.5" thickTop="1" thickBot="1" x14ac:dyDescent="0.3">
      <c r="A33" s="30">
        <v>17</v>
      </c>
      <c r="B33" s="30" t="s">
        <v>8</v>
      </c>
      <c r="C33" s="54" t="s">
        <v>7</v>
      </c>
      <c r="D33" s="48">
        <v>7</v>
      </c>
      <c r="E33" s="48">
        <v>0.02</v>
      </c>
      <c r="F33" s="42"/>
      <c r="G33" s="43">
        <f t="shared" si="0"/>
        <v>7</v>
      </c>
      <c r="H33" s="43"/>
      <c r="I33" s="43">
        <f t="shared" si="1"/>
        <v>7</v>
      </c>
    </row>
    <row r="34" spans="1:9" ht="16.5" thickTop="1" thickBot="1" x14ac:dyDescent="0.3">
      <c r="A34" s="30">
        <v>18</v>
      </c>
      <c r="B34" s="30" t="s">
        <v>8</v>
      </c>
      <c r="C34" s="54" t="s">
        <v>11</v>
      </c>
      <c r="D34" s="48">
        <v>7</v>
      </c>
      <c r="E34" s="48">
        <v>0.02</v>
      </c>
      <c r="F34" s="42"/>
      <c r="G34" s="43">
        <f t="shared" si="0"/>
        <v>7</v>
      </c>
      <c r="H34" s="43"/>
      <c r="I34" s="43">
        <f t="shared" si="1"/>
        <v>7</v>
      </c>
    </row>
    <row r="35" spans="1:9" ht="16.5" thickTop="1" thickBot="1" x14ac:dyDescent="0.3">
      <c r="A35" s="30">
        <v>19</v>
      </c>
      <c r="B35" s="30" t="s">
        <v>9</v>
      </c>
      <c r="C35" s="54" t="s">
        <v>6</v>
      </c>
      <c r="D35" s="48">
        <v>11</v>
      </c>
      <c r="E35" s="48">
        <v>0.02</v>
      </c>
      <c r="F35" s="42"/>
      <c r="G35" s="43">
        <f t="shared" si="0"/>
        <v>11</v>
      </c>
      <c r="H35" s="43"/>
      <c r="I35" s="43">
        <f t="shared" si="1"/>
        <v>11</v>
      </c>
    </row>
    <row r="36" spans="1:9" ht="16.5" thickTop="1" thickBot="1" x14ac:dyDescent="0.3">
      <c r="A36" s="30">
        <v>20</v>
      </c>
      <c r="B36" s="30" t="s">
        <v>9</v>
      </c>
      <c r="C36" s="54" t="s">
        <v>10</v>
      </c>
      <c r="D36" s="48">
        <v>9</v>
      </c>
      <c r="E36" s="48">
        <v>0.02</v>
      </c>
      <c r="F36" s="42"/>
      <c r="G36" s="43">
        <f t="shared" si="0"/>
        <v>9</v>
      </c>
      <c r="H36" s="43"/>
      <c r="I36" s="43">
        <f t="shared" si="1"/>
        <v>9</v>
      </c>
    </row>
    <row r="37" spans="1:9" ht="16.5" thickTop="1" thickBot="1" x14ac:dyDescent="0.3">
      <c r="A37" s="30">
        <v>21</v>
      </c>
      <c r="B37" s="30" t="s">
        <v>9</v>
      </c>
      <c r="C37" s="54" t="s">
        <v>12</v>
      </c>
      <c r="D37" s="48">
        <v>13</v>
      </c>
      <c r="E37" s="48">
        <v>0.02</v>
      </c>
      <c r="F37" s="42"/>
      <c r="G37" s="43">
        <f t="shared" si="0"/>
        <v>13</v>
      </c>
      <c r="H37" s="43"/>
      <c r="I37" s="43">
        <f t="shared" si="1"/>
        <v>13</v>
      </c>
    </row>
    <row r="38" spans="1:9" ht="16.5" thickTop="1" thickBot="1" x14ac:dyDescent="0.3">
      <c r="A38" s="30">
        <v>22</v>
      </c>
      <c r="B38" s="30" t="s">
        <v>10</v>
      </c>
      <c r="C38" s="54" t="s">
        <v>6</v>
      </c>
      <c r="D38" s="48">
        <v>9</v>
      </c>
      <c r="E38" s="48">
        <v>0.02</v>
      </c>
      <c r="F38" s="42"/>
      <c r="G38" s="43">
        <f t="shared" si="0"/>
        <v>9</v>
      </c>
      <c r="H38" s="43"/>
      <c r="I38" s="43">
        <f t="shared" si="1"/>
        <v>9</v>
      </c>
    </row>
    <row r="39" spans="1:9" ht="16.5" thickTop="1" thickBot="1" x14ac:dyDescent="0.3">
      <c r="A39" s="30">
        <v>23</v>
      </c>
      <c r="B39" s="30" t="s">
        <v>10</v>
      </c>
      <c r="C39" s="54" t="s">
        <v>7</v>
      </c>
      <c r="D39" s="48">
        <v>7</v>
      </c>
      <c r="E39" s="48">
        <v>0.02</v>
      </c>
      <c r="F39" s="42"/>
      <c r="G39" s="43">
        <f t="shared" si="0"/>
        <v>7</v>
      </c>
      <c r="H39" s="43"/>
      <c r="I39" s="43">
        <f t="shared" si="1"/>
        <v>7</v>
      </c>
    </row>
    <row r="40" spans="1:9" ht="16.5" thickTop="1" thickBot="1" x14ac:dyDescent="0.3">
      <c r="A40" s="30">
        <v>24</v>
      </c>
      <c r="B40" s="30" t="s">
        <v>10</v>
      </c>
      <c r="C40" s="54" t="s">
        <v>9</v>
      </c>
      <c r="D40" s="48">
        <v>9</v>
      </c>
      <c r="E40" s="48">
        <v>0.02</v>
      </c>
      <c r="F40" s="42"/>
      <c r="G40" s="43">
        <f t="shared" si="0"/>
        <v>9</v>
      </c>
      <c r="H40" s="43"/>
      <c r="I40" s="43">
        <f t="shared" si="1"/>
        <v>9</v>
      </c>
    </row>
    <row r="41" spans="1:9" ht="16.5" thickTop="1" thickBot="1" x14ac:dyDescent="0.3">
      <c r="A41" s="30">
        <v>25</v>
      </c>
      <c r="B41" s="30" t="s">
        <v>10</v>
      </c>
      <c r="C41" s="54" t="s">
        <v>11</v>
      </c>
      <c r="D41" s="48">
        <v>9</v>
      </c>
      <c r="E41" s="48">
        <v>0.02</v>
      </c>
      <c r="F41" s="42"/>
      <c r="G41" s="43">
        <f t="shared" si="0"/>
        <v>9</v>
      </c>
      <c r="H41" s="43"/>
      <c r="I41" s="43">
        <f t="shared" si="1"/>
        <v>9</v>
      </c>
    </row>
    <row r="42" spans="1:9" ht="16.5" thickTop="1" thickBot="1" x14ac:dyDescent="0.3">
      <c r="A42" s="30">
        <v>26</v>
      </c>
      <c r="B42" s="30" t="s">
        <v>10</v>
      </c>
      <c r="C42" s="54" t="s">
        <v>13</v>
      </c>
      <c r="D42" s="48">
        <v>3</v>
      </c>
      <c r="E42" s="48">
        <v>0.02</v>
      </c>
      <c r="F42" s="42"/>
      <c r="G42" s="43">
        <f t="shared" si="0"/>
        <v>3</v>
      </c>
      <c r="H42" s="43"/>
      <c r="I42" s="43">
        <f t="shared" si="1"/>
        <v>3</v>
      </c>
    </row>
    <row r="43" spans="1:9" ht="16.5" thickTop="1" thickBot="1" x14ac:dyDescent="0.3">
      <c r="A43" s="30">
        <v>27</v>
      </c>
      <c r="B43" s="30" t="s">
        <v>10</v>
      </c>
      <c r="C43" s="54" t="s">
        <v>14</v>
      </c>
      <c r="D43" s="48">
        <v>13</v>
      </c>
      <c r="E43" s="48">
        <v>0.02</v>
      </c>
      <c r="F43" s="42"/>
      <c r="G43" s="43">
        <f t="shared" si="0"/>
        <v>13</v>
      </c>
      <c r="H43" s="43"/>
      <c r="I43" s="43">
        <f t="shared" si="1"/>
        <v>13</v>
      </c>
    </row>
    <row r="44" spans="1:9" ht="16.5" thickTop="1" thickBot="1" x14ac:dyDescent="0.3">
      <c r="A44" s="30">
        <v>28</v>
      </c>
      <c r="B44" s="30" t="s">
        <v>11</v>
      </c>
      <c r="C44" s="54" t="s">
        <v>7</v>
      </c>
      <c r="D44" s="48">
        <v>9</v>
      </c>
      <c r="E44" s="48">
        <v>0.02</v>
      </c>
      <c r="F44" s="42"/>
      <c r="G44" s="43">
        <f t="shared" si="0"/>
        <v>9</v>
      </c>
      <c r="H44" s="43"/>
      <c r="I44" s="43">
        <f t="shared" si="1"/>
        <v>9</v>
      </c>
    </row>
    <row r="45" spans="1:9" ht="16.5" thickTop="1" thickBot="1" x14ac:dyDescent="0.3">
      <c r="A45" s="30">
        <v>29</v>
      </c>
      <c r="B45" s="30" t="s">
        <v>11</v>
      </c>
      <c r="C45" s="54" t="s">
        <v>8</v>
      </c>
      <c r="D45" s="48">
        <v>7</v>
      </c>
      <c r="E45" s="48">
        <v>0.02</v>
      </c>
      <c r="F45" s="42"/>
      <c r="G45" s="43">
        <f t="shared" si="0"/>
        <v>7</v>
      </c>
      <c r="H45" s="43"/>
      <c r="I45" s="43">
        <f t="shared" si="1"/>
        <v>7</v>
      </c>
    </row>
    <row r="46" spans="1:9" ht="16.5" thickTop="1" thickBot="1" x14ac:dyDescent="0.3">
      <c r="A46" s="30">
        <v>30</v>
      </c>
      <c r="B46" s="30" t="s">
        <v>11</v>
      </c>
      <c r="C46" s="54" t="s">
        <v>10</v>
      </c>
      <c r="D46" s="48">
        <v>9</v>
      </c>
      <c r="E46" s="48">
        <v>0.02</v>
      </c>
      <c r="F46" s="42"/>
      <c r="G46" s="43">
        <f t="shared" si="0"/>
        <v>9</v>
      </c>
      <c r="H46" s="43"/>
      <c r="I46" s="43">
        <f t="shared" si="1"/>
        <v>9</v>
      </c>
    </row>
    <row r="47" spans="1:9" ht="16.5" thickTop="1" thickBot="1" x14ac:dyDescent="0.3">
      <c r="A47" s="30">
        <v>31</v>
      </c>
      <c r="B47" s="30" t="s">
        <v>11</v>
      </c>
      <c r="C47" s="54" t="s">
        <v>14</v>
      </c>
      <c r="D47" s="48">
        <v>3</v>
      </c>
      <c r="E47" s="48">
        <v>0.02</v>
      </c>
      <c r="F47" s="42"/>
      <c r="G47" s="43">
        <f t="shared" si="0"/>
        <v>3</v>
      </c>
      <c r="H47" s="43"/>
      <c r="I47" s="43">
        <f t="shared" si="1"/>
        <v>3</v>
      </c>
    </row>
    <row r="48" spans="1:9" ht="16.5" thickTop="1" thickBot="1" x14ac:dyDescent="0.3">
      <c r="A48" s="30">
        <v>32</v>
      </c>
      <c r="B48" s="30" t="s">
        <v>12</v>
      </c>
      <c r="C48" s="54" t="s">
        <v>9</v>
      </c>
      <c r="D48" s="48">
        <v>13</v>
      </c>
      <c r="E48" s="48">
        <v>0.02</v>
      </c>
      <c r="F48" s="42"/>
      <c r="G48" s="43">
        <f t="shared" si="0"/>
        <v>13</v>
      </c>
      <c r="H48" s="43"/>
      <c r="I48" s="43">
        <f t="shared" si="1"/>
        <v>13</v>
      </c>
    </row>
    <row r="49" spans="1:9" ht="16.5" thickTop="1" thickBot="1" x14ac:dyDescent="0.3">
      <c r="A49" s="30">
        <v>33</v>
      </c>
      <c r="B49" s="30" t="s">
        <v>12</v>
      </c>
      <c r="C49" s="54" t="s">
        <v>13</v>
      </c>
      <c r="D49" s="48">
        <v>9</v>
      </c>
      <c r="E49" s="48">
        <v>0.02</v>
      </c>
      <c r="F49" s="42"/>
      <c r="G49" s="43">
        <f t="shared" si="0"/>
        <v>9</v>
      </c>
      <c r="H49" s="43"/>
      <c r="I49" s="43">
        <f t="shared" si="1"/>
        <v>9</v>
      </c>
    </row>
    <row r="50" spans="1:9" ht="16.5" thickTop="1" thickBot="1" x14ac:dyDescent="0.3">
      <c r="A50" s="30">
        <v>34</v>
      </c>
      <c r="B50" s="30" t="s">
        <v>12</v>
      </c>
      <c r="C50" s="54" t="s">
        <v>15</v>
      </c>
      <c r="D50" s="48">
        <v>2</v>
      </c>
      <c r="E50" s="48">
        <v>0.02</v>
      </c>
      <c r="F50" s="42"/>
      <c r="G50" s="43">
        <f t="shared" si="0"/>
        <v>2</v>
      </c>
      <c r="H50" s="43"/>
      <c r="I50" s="43">
        <f t="shared" si="1"/>
        <v>2</v>
      </c>
    </row>
    <row r="51" spans="1:9" ht="16.5" thickTop="1" thickBot="1" x14ac:dyDescent="0.3">
      <c r="A51" s="30">
        <v>35</v>
      </c>
      <c r="B51" s="30" t="s">
        <v>13</v>
      </c>
      <c r="C51" s="54" t="s">
        <v>10</v>
      </c>
      <c r="D51" s="48">
        <v>3</v>
      </c>
      <c r="E51" s="48">
        <v>0.02</v>
      </c>
      <c r="F51" s="42"/>
      <c r="G51" s="43">
        <f t="shared" si="0"/>
        <v>3</v>
      </c>
      <c r="H51" s="43"/>
      <c r="I51" s="43">
        <f t="shared" si="1"/>
        <v>3</v>
      </c>
    </row>
    <row r="52" spans="1:9" ht="16.5" thickTop="1" thickBot="1" x14ac:dyDescent="0.3">
      <c r="A52" s="30">
        <v>36</v>
      </c>
      <c r="B52" s="30" t="s">
        <v>13</v>
      </c>
      <c r="C52" s="54" t="s">
        <v>12</v>
      </c>
      <c r="D52" s="48">
        <v>9</v>
      </c>
      <c r="E52" s="48">
        <v>0.02</v>
      </c>
      <c r="F52" s="42"/>
      <c r="G52" s="43">
        <f t="shared" si="0"/>
        <v>9</v>
      </c>
      <c r="H52" s="43"/>
      <c r="I52" s="43">
        <f t="shared" si="1"/>
        <v>9</v>
      </c>
    </row>
    <row r="53" spans="1:9" ht="16.5" thickTop="1" thickBot="1" x14ac:dyDescent="0.3">
      <c r="A53" s="30">
        <v>37</v>
      </c>
      <c r="B53" s="30" t="s">
        <v>13</v>
      </c>
      <c r="C53" s="54" t="s">
        <v>15</v>
      </c>
      <c r="D53" s="48">
        <v>12</v>
      </c>
      <c r="E53" s="48">
        <v>0.02</v>
      </c>
      <c r="F53" s="42"/>
      <c r="G53" s="43">
        <f t="shared" si="0"/>
        <v>12</v>
      </c>
      <c r="H53" s="43"/>
      <c r="I53" s="43">
        <f t="shared" si="1"/>
        <v>12</v>
      </c>
    </row>
    <row r="54" spans="1:9" ht="16.5" thickTop="1" thickBot="1" x14ac:dyDescent="0.3">
      <c r="A54" s="30">
        <v>38</v>
      </c>
      <c r="B54" s="30" t="s">
        <v>13</v>
      </c>
      <c r="C54" s="54" t="s">
        <v>14</v>
      </c>
      <c r="D54" s="48">
        <v>9</v>
      </c>
      <c r="E54" s="48">
        <v>0.02</v>
      </c>
      <c r="F54" s="42"/>
      <c r="G54" s="43">
        <f t="shared" si="0"/>
        <v>9</v>
      </c>
      <c r="H54" s="43"/>
      <c r="I54" s="43">
        <f t="shared" si="1"/>
        <v>9</v>
      </c>
    </row>
    <row r="55" spans="1:9" ht="16.5" thickTop="1" thickBot="1" x14ac:dyDescent="0.3">
      <c r="A55" s="30">
        <v>39</v>
      </c>
      <c r="B55" s="30" t="s">
        <v>13</v>
      </c>
      <c r="C55" s="54" t="s">
        <v>16</v>
      </c>
      <c r="D55" s="48">
        <v>12</v>
      </c>
      <c r="E55" s="48">
        <v>0.02</v>
      </c>
      <c r="F55" s="42"/>
      <c r="G55" s="43">
        <f t="shared" si="0"/>
        <v>12</v>
      </c>
      <c r="H55" s="43"/>
      <c r="I55" s="43">
        <f t="shared" si="1"/>
        <v>12</v>
      </c>
    </row>
    <row r="56" spans="1:9" ht="16.5" thickTop="1" thickBot="1" x14ac:dyDescent="0.3">
      <c r="A56" s="30">
        <v>40</v>
      </c>
      <c r="B56" s="30" t="s">
        <v>14</v>
      </c>
      <c r="C56" s="54" t="s">
        <v>10</v>
      </c>
      <c r="D56" s="48">
        <v>13</v>
      </c>
      <c r="E56" s="48">
        <v>0.02</v>
      </c>
      <c r="F56" s="42"/>
      <c r="G56" s="43">
        <f t="shared" si="0"/>
        <v>13</v>
      </c>
      <c r="H56" s="43"/>
      <c r="I56" s="43">
        <f t="shared" si="1"/>
        <v>13</v>
      </c>
    </row>
    <row r="57" spans="1:9" ht="16.5" thickTop="1" thickBot="1" x14ac:dyDescent="0.3">
      <c r="A57" s="30">
        <v>41</v>
      </c>
      <c r="B57" s="30" t="s">
        <v>14</v>
      </c>
      <c r="C57" s="54" t="s">
        <v>11</v>
      </c>
      <c r="D57" s="48">
        <v>3</v>
      </c>
      <c r="E57" s="48">
        <v>0.02</v>
      </c>
      <c r="F57" s="42"/>
      <c r="G57" s="43">
        <f t="shared" si="0"/>
        <v>3</v>
      </c>
      <c r="H57" s="43"/>
      <c r="I57" s="43">
        <f t="shared" si="1"/>
        <v>3</v>
      </c>
    </row>
    <row r="58" spans="1:9" ht="16.5" thickTop="1" thickBot="1" x14ac:dyDescent="0.3">
      <c r="A58" s="30">
        <v>42</v>
      </c>
      <c r="B58" s="30" t="s">
        <v>14</v>
      </c>
      <c r="C58" s="54" t="s">
        <v>13</v>
      </c>
      <c r="D58" s="48">
        <v>9</v>
      </c>
      <c r="E58" s="48">
        <v>0.02</v>
      </c>
      <c r="F58" s="42"/>
      <c r="G58" s="43">
        <f t="shared" si="0"/>
        <v>9</v>
      </c>
      <c r="H58" s="43"/>
      <c r="I58" s="43">
        <f t="shared" si="1"/>
        <v>9</v>
      </c>
    </row>
    <row r="59" spans="1:9" ht="16.5" thickTop="1" thickBot="1" x14ac:dyDescent="0.3">
      <c r="A59" s="30">
        <v>43</v>
      </c>
      <c r="B59" s="30" t="s">
        <v>14</v>
      </c>
      <c r="C59" s="54" t="s">
        <v>16</v>
      </c>
      <c r="D59" s="48">
        <v>2</v>
      </c>
      <c r="E59" s="48">
        <v>0.02</v>
      </c>
      <c r="F59" s="42"/>
      <c r="G59" s="43">
        <f t="shared" si="0"/>
        <v>2</v>
      </c>
      <c r="H59" s="43"/>
      <c r="I59" s="43">
        <f t="shared" si="1"/>
        <v>2</v>
      </c>
    </row>
    <row r="60" spans="1:9" ht="16.5" thickTop="1" thickBot="1" x14ac:dyDescent="0.3">
      <c r="A60" s="30">
        <v>44</v>
      </c>
      <c r="B60" s="30" t="s">
        <v>15</v>
      </c>
      <c r="C60" s="54" t="s">
        <v>12</v>
      </c>
      <c r="D60" s="48">
        <v>2</v>
      </c>
      <c r="E60" s="48">
        <v>0.02</v>
      </c>
      <c r="F60" s="42"/>
      <c r="G60" s="43">
        <f t="shared" si="0"/>
        <v>2</v>
      </c>
      <c r="H60" s="43"/>
      <c r="I60" s="43">
        <f t="shared" si="1"/>
        <v>2</v>
      </c>
    </row>
    <row r="61" spans="1:9" ht="16.5" thickTop="1" thickBot="1" x14ac:dyDescent="0.3">
      <c r="A61" s="30">
        <v>45</v>
      </c>
      <c r="B61" s="30" t="s">
        <v>15</v>
      </c>
      <c r="C61" s="54" t="s">
        <v>13</v>
      </c>
      <c r="D61" s="48">
        <v>12</v>
      </c>
      <c r="E61" s="48">
        <v>0.02</v>
      </c>
      <c r="F61" s="42"/>
      <c r="G61" s="43">
        <f t="shared" si="0"/>
        <v>12</v>
      </c>
      <c r="H61" s="43"/>
      <c r="I61" s="43">
        <f t="shared" si="1"/>
        <v>12</v>
      </c>
    </row>
    <row r="62" spans="1:9" ht="16.5" thickTop="1" thickBot="1" x14ac:dyDescent="0.3">
      <c r="A62" s="30">
        <v>46</v>
      </c>
      <c r="B62" s="30" t="s">
        <v>16</v>
      </c>
      <c r="C62" s="54" t="s">
        <v>13</v>
      </c>
      <c r="D62" s="48">
        <v>12</v>
      </c>
      <c r="E62" s="48">
        <v>0.02</v>
      </c>
      <c r="F62" s="42"/>
      <c r="G62" s="43">
        <f t="shared" si="0"/>
        <v>12</v>
      </c>
      <c r="H62" s="43"/>
      <c r="I62" s="43">
        <f t="shared" si="1"/>
        <v>12</v>
      </c>
    </row>
    <row r="63" spans="1:9" ht="16.5" thickTop="1" thickBot="1" x14ac:dyDescent="0.3">
      <c r="A63" s="30">
        <v>47</v>
      </c>
      <c r="B63" s="30" t="s">
        <v>16</v>
      </c>
      <c r="C63" s="54" t="s">
        <v>14</v>
      </c>
      <c r="D63" s="48">
        <v>2</v>
      </c>
      <c r="E63" s="48">
        <v>0.02</v>
      </c>
      <c r="F63" s="42"/>
      <c r="G63" s="43">
        <f t="shared" si="0"/>
        <v>2</v>
      </c>
      <c r="H63" s="43"/>
      <c r="I63" s="43">
        <f t="shared" si="1"/>
        <v>2</v>
      </c>
    </row>
    <row r="64" spans="1:9" ht="15.75" thickTop="1" x14ac:dyDescent="0.25"/>
  </sheetData>
  <mergeCells count="13">
    <mergeCell ref="Q16:T25"/>
    <mergeCell ref="O11:S12"/>
    <mergeCell ref="O1:P1"/>
    <mergeCell ref="I8:J8"/>
    <mergeCell ref="K18:O18"/>
    <mergeCell ref="M19:O19"/>
    <mergeCell ref="K11:M11"/>
    <mergeCell ref="K16:O16"/>
    <mergeCell ref="D12:E12"/>
    <mergeCell ref="B15:C15"/>
    <mergeCell ref="F14:G14"/>
    <mergeCell ref="H14:I14"/>
    <mergeCell ref="L2:M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IncrementalLoadingTechnique">
                <anchor moveWithCells="1" sizeWithCells="1">
                  <from>
                    <xdr:col>5</xdr:col>
                    <xdr:colOff>19050</xdr:colOff>
                    <xdr:row>11</xdr:row>
                    <xdr:rowOff>19050</xdr:rowOff>
                  </from>
                  <to>
                    <xdr:col>7</xdr:col>
                    <xdr:colOff>0</xdr:colOff>
                    <xdr:row>12</xdr:row>
                    <xdr:rowOff>114300</xdr:rowOff>
                  </to>
                </anchor>
              </controlPr>
            </control>
          </mc:Choice>
        </mc:AlternateContent>
        <mc:AlternateContent xmlns:mc="http://schemas.openxmlformats.org/markup-compatibility/2006">
          <mc:Choice Requires="x14">
            <control shapeId="2050" r:id="rId5" name="Button 2">
              <controlPr defaultSize="0" print="0" autoFill="0" autoPict="0" macro="[0]!SuccessiveAveragesMethod">
                <anchor moveWithCells="1" sizeWithCells="1">
                  <from>
                    <xdr:col>7</xdr:col>
                    <xdr:colOff>19050</xdr:colOff>
                    <xdr:row>11</xdr:row>
                    <xdr:rowOff>19050</xdr:rowOff>
                  </from>
                  <to>
                    <xdr:col>9</xdr:col>
                    <xdr:colOff>0</xdr:colOff>
                    <xdr:row>12</xdr:row>
                    <xdr:rowOff>114300</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10</xdr:col>
                    <xdr:colOff>76200</xdr:colOff>
                    <xdr:row>18</xdr:row>
                    <xdr:rowOff>171450</xdr:rowOff>
                  </from>
                  <to>
                    <xdr:col>11</xdr:col>
                    <xdr:colOff>28575</xdr:colOff>
                    <xdr:row>20</xdr:row>
                    <xdr:rowOff>57150</xdr:rowOff>
                  </to>
                </anchor>
              </controlPr>
            </control>
          </mc:Choice>
        </mc:AlternateContent>
        <mc:AlternateContent xmlns:mc="http://schemas.openxmlformats.org/markup-compatibility/2006">
          <mc:Choice Requires="x14">
            <control shapeId="2052" r:id="rId7" name="Option Button 4">
              <controlPr defaultSize="0" autoFill="0" autoLine="0" autoPict="0">
                <anchor moveWithCells="1">
                  <from>
                    <xdr:col>10</xdr:col>
                    <xdr:colOff>76200</xdr:colOff>
                    <xdr:row>17</xdr:row>
                    <xdr:rowOff>190500</xdr:rowOff>
                  </from>
                  <to>
                    <xdr:col>11</xdr:col>
                    <xdr:colOff>19050</xdr:colOff>
                    <xdr:row>19</xdr:row>
                    <xdr:rowOff>38100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12</xdr:col>
                    <xdr:colOff>142875</xdr:colOff>
                    <xdr:row>19</xdr:row>
                    <xdr:rowOff>200025</xdr:rowOff>
                  </from>
                  <to>
                    <xdr:col>12</xdr:col>
                    <xdr:colOff>352425</xdr:colOff>
                    <xdr:row>21</xdr:row>
                    <xdr:rowOff>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12</xdr:col>
                    <xdr:colOff>142875</xdr:colOff>
                    <xdr:row>19</xdr:row>
                    <xdr:rowOff>9525</xdr:rowOff>
                  </from>
                  <to>
                    <xdr:col>12</xdr:col>
                    <xdr:colOff>361950</xdr:colOff>
                    <xdr:row>20</xdr:row>
                    <xdr:rowOff>28575</xdr:rowOff>
                  </to>
                </anchor>
              </controlPr>
            </control>
          </mc:Choice>
        </mc:AlternateContent>
        <mc:AlternateContent xmlns:mc="http://schemas.openxmlformats.org/markup-compatibility/2006">
          <mc:Choice Requires="x14">
            <control shapeId="2055" r:id="rId10" name="Button 7">
              <controlPr defaultSize="0" print="0" autoFill="0" autoPict="0" macro="[0]!Clear1cd">
                <anchor moveWithCells="1" sizeWithCells="1">
                  <from>
                    <xdr:col>12</xdr:col>
                    <xdr:colOff>47625</xdr:colOff>
                    <xdr:row>22</xdr:row>
                    <xdr:rowOff>19050</xdr:rowOff>
                  </from>
                  <to>
                    <xdr:col>13</xdr:col>
                    <xdr:colOff>457200</xdr:colOff>
                    <xdr:row>23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3:O57"/>
  <sheetViews>
    <sheetView topLeftCell="A23" workbookViewId="0">
      <selection activeCell="R19" sqref="R19"/>
    </sheetView>
  </sheetViews>
  <sheetFormatPr baseColWidth="10" defaultColWidth="9.140625" defaultRowHeight="15" x14ac:dyDescent="0.25"/>
  <cols>
    <col min="1" max="1" width="6" style="2" bestFit="1" customWidth="1"/>
    <col min="2" max="3" width="9.140625" style="2"/>
    <col min="4" max="4" width="10.140625" style="2" bestFit="1" customWidth="1"/>
    <col min="5" max="5" width="17.85546875" style="2" bestFit="1" customWidth="1"/>
    <col min="6" max="6" width="18.85546875" style="2" bestFit="1" customWidth="1"/>
    <col min="7" max="7" width="9.140625" style="2"/>
    <col min="8" max="8" width="11.28515625" style="2" bestFit="1" customWidth="1"/>
    <col min="9" max="9" width="7.85546875" style="2" customWidth="1"/>
    <col min="10" max="13" width="9.140625" style="2"/>
    <col min="14" max="14" width="12.28515625" style="2" customWidth="1"/>
    <col min="15" max="16384" width="9.140625" style="2"/>
  </cols>
  <sheetData>
    <row r="3" spans="1:13" x14ac:dyDescent="0.25">
      <c r="G3" s="39" t="s">
        <v>51</v>
      </c>
      <c r="H3" s="39" t="s">
        <v>54</v>
      </c>
      <c r="I3" s="4"/>
      <c r="J3" s="49" t="s">
        <v>56</v>
      </c>
      <c r="K3" s="85" t="s">
        <v>54</v>
      </c>
      <c r="L3" s="85"/>
      <c r="M3" s="85"/>
    </row>
    <row r="4" spans="1:13" x14ac:dyDescent="0.25">
      <c r="G4" s="48" t="s">
        <v>4</v>
      </c>
      <c r="H4" s="48" t="s">
        <v>13</v>
      </c>
      <c r="I4" s="4"/>
      <c r="J4" s="39" t="s">
        <v>51</v>
      </c>
      <c r="K4" s="39" t="str">
        <f>H4</f>
        <v>J</v>
      </c>
      <c r="L4" s="39" t="str">
        <f>H5</f>
        <v>K</v>
      </c>
      <c r="M4" s="39" t="str">
        <f>H6</f>
        <v>L</v>
      </c>
    </row>
    <row r="5" spans="1:13" x14ac:dyDescent="0.25">
      <c r="G5" s="48" t="s">
        <v>5</v>
      </c>
      <c r="H5" s="48" t="s">
        <v>14</v>
      </c>
      <c r="I5" s="4"/>
      <c r="J5" s="39" t="str">
        <f>G4</f>
        <v>A</v>
      </c>
      <c r="K5" s="25"/>
      <c r="L5" s="25"/>
      <c r="M5" s="25"/>
    </row>
    <row r="6" spans="1:13" x14ac:dyDescent="0.25">
      <c r="H6" s="48" t="s">
        <v>15</v>
      </c>
      <c r="I6" s="4"/>
      <c r="J6" s="39" t="str">
        <f>G5</f>
        <v>B</v>
      </c>
      <c r="K6" s="25"/>
      <c r="L6" s="25"/>
      <c r="M6" s="25"/>
    </row>
    <row r="9" spans="1:13" x14ac:dyDescent="0.25">
      <c r="H9" s="117" t="s">
        <v>55</v>
      </c>
      <c r="I9" s="117"/>
      <c r="J9" s="117"/>
      <c r="K9" s="117"/>
      <c r="L9" s="117"/>
    </row>
    <row r="12" spans="1:13" x14ac:dyDescent="0.25">
      <c r="H12" s="49" t="s">
        <v>52</v>
      </c>
      <c r="I12" s="114" t="s">
        <v>54</v>
      </c>
      <c r="J12" s="115"/>
      <c r="K12" s="116"/>
    </row>
    <row r="13" spans="1:13" x14ac:dyDescent="0.25">
      <c r="E13" s="39" t="s">
        <v>58</v>
      </c>
      <c r="F13" s="73" t="s">
        <v>108</v>
      </c>
      <c r="H13" s="39" t="s">
        <v>51</v>
      </c>
      <c r="I13" s="39" t="str">
        <f>H4</f>
        <v>J</v>
      </c>
      <c r="J13" s="39" t="str">
        <f>H5</f>
        <v>K</v>
      </c>
      <c r="K13" s="39" t="str">
        <f>H6</f>
        <v>L</v>
      </c>
      <c r="L13" s="50" t="s">
        <v>57</v>
      </c>
    </row>
    <row r="14" spans="1:13" ht="15.75" thickBot="1" x14ac:dyDescent="0.3">
      <c r="A14" s="39" t="s">
        <v>26</v>
      </c>
      <c r="B14" s="85" t="s">
        <v>1</v>
      </c>
      <c r="C14" s="85"/>
      <c r="D14" s="39" t="s">
        <v>33</v>
      </c>
      <c r="E14" s="39" t="s">
        <v>21</v>
      </c>
      <c r="F14" s="39" t="s">
        <v>21</v>
      </c>
      <c r="H14" s="39" t="str">
        <f>G4</f>
        <v>A</v>
      </c>
      <c r="I14" s="25"/>
      <c r="J14" s="25"/>
      <c r="K14" s="25"/>
      <c r="L14" s="48">
        <v>1000</v>
      </c>
    </row>
    <row r="15" spans="1:13" ht="16.5" thickTop="1" thickBot="1" x14ac:dyDescent="0.3">
      <c r="A15" s="30">
        <v>0</v>
      </c>
      <c r="B15" s="30" t="s">
        <v>4</v>
      </c>
      <c r="C15" s="54" t="s">
        <v>5</v>
      </c>
      <c r="D15" s="48">
        <v>4</v>
      </c>
      <c r="E15" s="25"/>
      <c r="F15" s="25"/>
      <c r="H15" s="39" t="str">
        <f>G5</f>
        <v>B</v>
      </c>
      <c r="I15" s="25"/>
      <c r="J15" s="25"/>
      <c r="K15" s="25"/>
      <c r="L15" s="48">
        <v>2000</v>
      </c>
    </row>
    <row r="16" spans="1:13" ht="16.5" thickTop="1" thickBot="1" x14ac:dyDescent="0.3">
      <c r="A16" s="30">
        <v>1</v>
      </c>
      <c r="B16" s="30" t="s">
        <v>4</v>
      </c>
      <c r="C16" s="54" t="s">
        <v>7</v>
      </c>
      <c r="D16" s="48">
        <v>3</v>
      </c>
      <c r="E16" s="25"/>
      <c r="F16" s="25"/>
      <c r="H16" s="39" t="s">
        <v>57</v>
      </c>
      <c r="I16" s="48">
        <v>700</v>
      </c>
      <c r="J16" s="48">
        <v>1000</v>
      </c>
      <c r="K16" s="48">
        <v>1300</v>
      </c>
      <c r="L16" s="54">
        <f>SUM(L14:L15)</f>
        <v>3000</v>
      </c>
    </row>
    <row r="17" spans="1:15" ht="16.5" thickTop="1" thickBot="1" x14ac:dyDescent="0.3">
      <c r="A17" s="30">
        <v>2</v>
      </c>
      <c r="B17" s="30" t="s">
        <v>4</v>
      </c>
      <c r="C17" s="54" t="s">
        <v>8</v>
      </c>
      <c r="D17" s="48">
        <v>8</v>
      </c>
      <c r="E17" s="25"/>
      <c r="F17" s="25"/>
    </row>
    <row r="18" spans="1:15" ht="16.5" thickTop="1" thickBot="1" x14ac:dyDescent="0.3">
      <c r="A18" s="30">
        <v>3</v>
      </c>
      <c r="B18" s="30" t="s">
        <v>5</v>
      </c>
      <c r="C18" s="54" t="s">
        <v>4</v>
      </c>
      <c r="D18" s="48">
        <v>4</v>
      </c>
      <c r="E18" s="25"/>
      <c r="F18" s="25"/>
      <c r="I18" s="117" t="s">
        <v>107</v>
      </c>
      <c r="J18" s="117"/>
      <c r="K18" s="117"/>
      <c r="L18" s="117"/>
      <c r="M18" s="117"/>
      <c r="N18" s="117"/>
      <c r="O18" s="117"/>
    </row>
    <row r="19" spans="1:15" ht="16.5" thickTop="1" thickBot="1" x14ac:dyDescent="0.3">
      <c r="A19" s="30">
        <v>4</v>
      </c>
      <c r="B19" s="30" t="s">
        <v>5</v>
      </c>
      <c r="C19" s="54" t="s">
        <v>6</v>
      </c>
      <c r="D19" s="48">
        <v>4</v>
      </c>
      <c r="E19" s="25"/>
      <c r="F19" s="25"/>
    </row>
    <row r="20" spans="1:15" ht="16.5" thickTop="1" thickBot="1" x14ac:dyDescent="0.3">
      <c r="A20" s="30">
        <v>5</v>
      </c>
      <c r="B20" s="30" t="s">
        <v>5</v>
      </c>
      <c r="C20" s="54" t="s">
        <v>8</v>
      </c>
      <c r="D20" s="48">
        <v>6</v>
      </c>
      <c r="E20" s="25"/>
      <c r="F20" s="25"/>
    </row>
    <row r="21" spans="1:15" ht="16.5" thickTop="1" thickBot="1" x14ac:dyDescent="0.3">
      <c r="A21" s="30">
        <v>6</v>
      </c>
      <c r="B21" s="30" t="s">
        <v>6</v>
      </c>
      <c r="C21" s="54" t="s">
        <v>5</v>
      </c>
      <c r="D21" s="48">
        <v>4</v>
      </c>
      <c r="E21" s="25"/>
      <c r="F21" s="25"/>
      <c r="H21" s="49" t="s">
        <v>52</v>
      </c>
      <c r="I21" s="114" t="s">
        <v>54</v>
      </c>
      <c r="J21" s="115"/>
      <c r="K21" s="116"/>
    </row>
    <row r="22" spans="1:15" ht="16.5" thickTop="1" thickBot="1" x14ac:dyDescent="0.3">
      <c r="A22" s="30">
        <v>7</v>
      </c>
      <c r="B22" s="30" t="s">
        <v>6</v>
      </c>
      <c r="C22" s="54" t="s">
        <v>9</v>
      </c>
      <c r="D22" s="48">
        <v>2</v>
      </c>
      <c r="E22" s="25"/>
      <c r="F22" s="25"/>
      <c r="H22" s="39" t="s">
        <v>51</v>
      </c>
      <c r="I22" s="39" t="str">
        <f>H4</f>
        <v>J</v>
      </c>
      <c r="J22" s="39" t="str">
        <f>H5</f>
        <v>K</v>
      </c>
      <c r="K22" s="39" t="str">
        <f>H6</f>
        <v>L</v>
      </c>
      <c r="L22" s="50" t="s">
        <v>57</v>
      </c>
    </row>
    <row r="23" spans="1:15" ht="16.5" thickTop="1" thickBot="1" x14ac:dyDescent="0.3">
      <c r="A23" s="30">
        <v>8</v>
      </c>
      <c r="B23" s="30" t="s">
        <v>7</v>
      </c>
      <c r="C23" s="54" t="s">
        <v>4</v>
      </c>
      <c r="D23" s="48">
        <v>3</v>
      </c>
      <c r="E23" s="25"/>
      <c r="F23" s="25"/>
      <c r="H23" s="39" t="str">
        <f>G4</f>
        <v>A</v>
      </c>
      <c r="I23" s="25"/>
      <c r="J23" s="25"/>
      <c r="K23" s="25"/>
      <c r="L23" s="30">
        <f>L14</f>
        <v>1000</v>
      </c>
    </row>
    <row r="24" spans="1:15" ht="16.5" thickTop="1" thickBot="1" x14ac:dyDescent="0.3">
      <c r="A24" s="30">
        <v>9</v>
      </c>
      <c r="B24" s="30" t="s">
        <v>7</v>
      </c>
      <c r="C24" s="54" t="s">
        <v>8</v>
      </c>
      <c r="D24" s="48">
        <v>4</v>
      </c>
      <c r="E24" s="25"/>
      <c r="F24" s="25"/>
      <c r="H24" s="39" t="str">
        <f>G5</f>
        <v>B</v>
      </c>
      <c r="I24" s="25"/>
      <c r="J24" s="25"/>
      <c r="K24" s="25"/>
      <c r="L24" s="30">
        <f>L15</f>
        <v>2000</v>
      </c>
    </row>
    <row r="25" spans="1:15" ht="16.5" thickTop="1" thickBot="1" x14ac:dyDescent="0.3">
      <c r="A25" s="30">
        <v>10</v>
      </c>
      <c r="B25" s="30" t="s">
        <v>7</v>
      </c>
      <c r="C25" s="54" t="s">
        <v>10</v>
      </c>
      <c r="D25" s="48">
        <v>6</v>
      </c>
      <c r="E25" s="25"/>
      <c r="F25" s="25"/>
      <c r="H25" s="39" t="s">
        <v>57</v>
      </c>
      <c r="I25" s="30">
        <f>I16</f>
        <v>700</v>
      </c>
      <c r="J25" s="30">
        <f>J16</f>
        <v>1000</v>
      </c>
      <c r="K25" s="30">
        <f>K16</f>
        <v>1300</v>
      </c>
      <c r="L25" s="30">
        <f>L16</f>
        <v>3000</v>
      </c>
    </row>
    <row r="26" spans="1:15" ht="16.5" thickTop="1" thickBot="1" x14ac:dyDescent="0.3">
      <c r="A26" s="30">
        <v>11</v>
      </c>
      <c r="B26" s="30" t="s">
        <v>7</v>
      </c>
      <c r="C26" s="54" t="s">
        <v>11</v>
      </c>
      <c r="D26" s="48">
        <v>5</v>
      </c>
      <c r="E26" s="25"/>
      <c r="F26" s="25"/>
    </row>
    <row r="27" spans="1:15" ht="16.5" thickTop="1" thickBot="1" x14ac:dyDescent="0.3">
      <c r="A27" s="30">
        <v>12</v>
      </c>
      <c r="B27" s="30" t="s">
        <v>8</v>
      </c>
      <c r="C27" s="54" t="s">
        <v>4</v>
      </c>
      <c r="D27" s="48">
        <v>8</v>
      </c>
      <c r="E27" s="25"/>
      <c r="F27" s="25"/>
      <c r="I27" s="117" t="s">
        <v>106</v>
      </c>
      <c r="J27" s="117"/>
      <c r="K27" s="117"/>
      <c r="L27" s="117"/>
      <c r="M27" s="117"/>
      <c r="N27" s="117"/>
      <c r="O27" s="117"/>
    </row>
    <row r="28" spans="1:15" ht="16.5" thickTop="1" thickBot="1" x14ac:dyDescent="0.3">
      <c r="A28" s="30">
        <v>13</v>
      </c>
      <c r="B28" s="30" t="s">
        <v>8</v>
      </c>
      <c r="C28" s="54" t="s">
        <v>5</v>
      </c>
      <c r="D28" s="48">
        <v>6</v>
      </c>
      <c r="E28" s="25"/>
      <c r="F28" s="25"/>
    </row>
    <row r="29" spans="1:15" ht="16.5" thickTop="1" thickBot="1" x14ac:dyDescent="0.3">
      <c r="A29" s="30">
        <v>14</v>
      </c>
      <c r="B29" s="30" t="s">
        <v>8</v>
      </c>
      <c r="C29" s="54" t="s">
        <v>7</v>
      </c>
      <c r="D29" s="48">
        <v>4</v>
      </c>
      <c r="E29" s="25"/>
      <c r="F29" s="25"/>
    </row>
    <row r="30" spans="1:15" ht="16.5" thickTop="1" thickBot="1" x14ac:dyDescent="0.3">
      <c r="A30" s="30">
        <v>15</v>
      </c>
      <c r="B30" s="30" t="s">
        <v>8</v>
      </c>
      <c r="C30" s="54" t="s">
        <v>9</v>
      </c>
      <c r="D30" s="48">
        <v>4</v>
      </c>
      <c r="E30" s="25"/>
      <c r="F30" s="25"/>
    </row>
    <row r="31" spans="1:15" ht="16.5" thickTop="1" thickBot="1" x14ac:dyDescent="0.3">
      <c r="A31" s="30">
        <v>16</v>
      </c>
      <c r="B31" s="30" t="s">
        <v>8</v>
      </c>
      <c r="C31" s="54" t="s">
        <v>11</v>
      </c>
      <c r="D31" s="48">
        <v>4</v>
      </c>
      <c r="E31" s="25"/>
      <c r="F31" s="25"/>
    </row>
    <row r="32" spans="1:15" ht="16.5" thickTop="1" thickBot="1" x14ac:dyDescent="0.3">
      <c r="A32" s="30">
        <v>17</v>
      </c>
      <c r="B32" s="30" t="s">
        <v>8</v>
      </c>
      <c r="C32" s="54" t="s">
        <v>12</v>
      </c>
      <c r="D32" s="48">
        <v>5</v>
      </c>
      <c r="E32" s="25"/>
      <c r="F32" s="25"/>
    </row>
    <row r="33" spans="1:6" ht="16.5" thickTop="1" thickBot="1" x14ac:dyDescent="0.3">
      <c r="A33" s="30">
        <v>18</v>
      </c>
      <c r="B33" s="30" t="s">
        <v>9</v>
      </c>
      <c r="C33" s="54" t="s">
        <v>6</v>
      </c>
      <c r="D33" s="48">
        <v>2</v>
      </c>
      <c r="E33" s="25"/>
      <c r="F33" s="25"/>
    </row>
    <row r="34" spans="1:6" ht="16.5" thickTop="1" thickBot="1" x14ac:dyDescent="0.3">
      <c r="A34" s="30">
        <v>19</v>
      </c>
      <c r="B34" s="30" t="s">
        <v>9</v>
      </c>
      <c r="C34" s="54" t="s">
        <v>8</v>
      </c>
      <c r="D34" s="48">
        <v>4</v>
      </c>
      <c r="E34" s="25"/>
      <c r="F34" s="25"/>
    </row>
    <row r="35" spans="1:6" ht="16.5" thickTop="1" thickBot="1" x14ac:dyDescent="0.3">
      <c r="A35" s="30">
        <v>20</v>
      </c>
      <c r="B35" s="30" t="s">
        <v>9</v>
      </c>
      <c r="C35" s="54" t="s">
        <v>12</v>
      </c>
      <c r="D35" s="48">
        <v>4</v>
      </c>
      <c r="E35" s="25"/>
      <c r="F35" s="25"/>
    </row>
    <row r="36" spans="1:6" ht="16.5" thickTop="1" thickBot="1" x14ac:dyDescent="0.3">
      <c r="A36" s="30">
        <v>21</v>
      </c>
      <c r="B36" s="30" t="s">
        <v>10</v>
      </c>
      <c r="C36" s="54" t="s">
        <v>7</v>
      </c>
      <c r="D36" s="48">
        <v>6</v>
      </c>
      <c r="E36" s="25"/>
      <c r="F36" s="25"/>
    </row>
    <row r="37" spans="1:6" ht="16.5" thickTop="1" thickBot="1" x14ac:dyDescent="0.3">
      <c r="A37" s="30">
        <v>22</v>
      </c>
      <c r="B37" s="30" t="s">
        <v>10</v>
      </c>
      <c r="C37" s="54" t="s">
        <v>11</v>
      </c>
      <c r="D37" s="48">
        <v>5</v>
      </c>
      <c r="E37" s="25"/>
      <c r="F37" s="25"/>
    </row>
    <row r="38" spans="1:6" ht="16.5" thickTop="1" thickBot="1" x14ac:dyDescent="0.3">
      <c r="A38" s="30">
        <v>23</v>
      </c>
      <c r="B38" s="30" t="s">
        <v>10</v>
      </c>
      <c r="C38" s="54" t="s">
        <v>13</v>
      </c>
      <c r="D38" s="48">
        <v>7</v>
      </c>
      <c r="E38" s="25"/>
      <c r="F38" s="25"/>
    </row>
    <row r="39" spans="1:6" ht="16.5" thickTop="1" thickBot="1" x14ac:dyDescent="0.3">
      <c r="A39" s="30">
        <v>24</v>
      </c>
      <c r="B39" s="30" t="s">
        <v>11</v>
      </c>
      <c r="C39" s="54" t="s">
        <v>7</v>
      </c>
      <c r="D39" s="48">
        <v>5</v>
      </c>
      <c r="E39" s="25"/>
      <c r="F39" s="25"/>
    </row>
    <row r="40" spans="1:6" ht="16.5" thickTop="1" thickBot="1" x14ac:dyDescent="0.3">
      <c r="A40" s="30">
        <v>25</v>
      </c>
      <c r="B40" s="30" t="s">
        <v>11</v>
      </c>
      <c r="C40" s="54" t="s">
        <v>8</v>
      </c>
      <c r="D40" s="48">
        <v>4</v>
      </c>
      <c r="E40" s="25"/>
      <c r="F40" s="25"/>
    </row>
    <row r="41" spans="1:6" ht="16.5" thickTop="1" thickBot="1" x14ac:dyDescent="0.3">
      <c r="A41" s="30">
        <v>26</v>
      </c>
      <c r="B41" s="30" t="s">
        <v>11</v>
      </c>
      <c r="C41" s="54" t="s">
        <v>10</v>
      </c>
      <c r="D41" s="48">
        <v>5</v>
      </c>
      <c r="E41" s="25"/>
      <c r="F41" s="25"/>
    </row>
    <row r="42" spans="1:6" ht="16.5" thickTop="1" thickBot="1" x14ac:dyDescent="0.3">
      <c r="A42" s="30">
        <v>27</v>
      </c>
      <c r="B42" s="30" t="s">
        <v>11</v>
      </c>
      <c r="C42" s="54" t="s">
        <v>12</v>
      </c>
      <c r="D42" s="48">
        <v>5</v>
      </c>
      <c r="E42" s="25"/>
      <c r="F42" s="25"/>
    </row>
    <row r="43" spans="1:6" ht="16.5" thickTop="1" thickBot="1" x14ac:dyDescent="0.3">
      <c r="A43" s="30">
        <v>28</v>
      </c>
      <c r="B43" s="30" t="s">
        <v>11</v>
      </c>
      <c r="C43" s="54" t="s">
        <v>14</v>
      </c>
      <c r="D43" s="48">
        <v>2</v>
      </c>
      <c r="E43" s="25"/>
      <c r="F43" s="25"/>
    </row>
    <row r="44" spans="1:6" ht="16.5" thickTop="1" thickBot="1" x14ac:dyDescent="0.3">
      <c r="A44" s="30">
        <v>29</v>
      </c>
      <c r="B44" s="30" t="s">
        <v>11</v>
      </c>
      <c r="C44" s="54" t="s">
        <v>15</v>
      </c>
      <c r="D44" s="48">
        <v>7</v>
      </c>
      <c r="E44" s="25"/>
      <c r="F44" s="25"/>
    </row>
    <row r="45" spans="1:6" ht="16.5" thickTop="1" thickBot="1" x14ac:dyDescent="0.3">
      <c r="A45" s="30">
        <v>30</v>
      </c>
      <c r="B45" s="30" t="s">
        <v>12</v>
      </c>
      <c r="C45" s="54" t="s">
        <v>8</v>
      </c>
      <c r="D45" s="48">
        <v>5</v>
      </c>
      <c r="E45" s="25"/>
      <c r="F45" s="25"/>
    </row>
    <row r="46" spans="1:6" ht="16.5" thickTop="1" thickBot="1" x14ac:dyDescent="0.3">
      <c r="A46" s="30">
        <v>31</v>
      </c>
      <c r="B46" s="30" t="s">
        <v>12</v>
      </c>
      <c r="C46" s="54" t="s">
        <v>9</v>
      </c>
      <c r="D46" s="48">
        <v>4</v>
      </c>
      <c r="E46" s="25"/>
      <c r="F46" s="25"/>
    </row>
    <row r="47" spans="1:6" ht="16.5" thickTop="1" thickBot="1" x14ac:dyDescent="0.3">
      <c r="A47" s="30">
        <v>32</v>
      </c>
      <c r="B47" s="30" t="s">
        <v>12</v>
      </c>
      <c r="C47" s="54" t="s">
        <v>11</v>
      </c>
      <c r="D47" s="48">
        <v>5</v>
      </c>
      <c r="E47" s="25"/>
      <c r="F47" s="25"/>
    </row>
    <row r="48" spans="1:6" ht="16.5" thickTop="1" thickBot="1" x14ac:dyDescent="0.3">
      <c r="A48" s="30">
        <v>33</v>
      </c>
      <c r="B48" s="30" t="s">
        <v>12</v>
      </c>
      <c r="C48" s="54" t="s">
        <v>15</v>
      </c>
      <c r="D48" s="48">
        <v>2</v>
      </c>
      <c r="E48" s="25"/>
      <c r="F48" s="25"/>
    </row>
    <row r="49" spans="1:6" ht="16.5" thickTop="1" thickBot="1" x14ac:dyDescent="0.3">
      <c r="A49" s="30">
        <v>34</v>
      </c>
      <c r="B49" s="30" t="s">
        <v>13</v>
      </c>
      <c r="C49" s="54" t="s">
        <v>10</v>
      </c>
      <c r="D49" s="48">
        <v>7</v>
      </c>
      <c r="E49" s="25"/>
      <c r="F49" s="25"/>
    </row>
    <row r="50" spans="1:6" ht="16.5" thickTop="1" thickBot="1" x14ac:dyDescent="0.3">
      <c r="A50" s="30">
        <v>35</v>
      </c>
      <c r="B50" s="30" t="s">
        <v>13</v>
      </c>
      <c r="C50" s="54" t="s">
        <v>14</v>
      </c>
      <c r="D50" s="48">
        <v>5</v>
      </c>
      <c r="E50" s="25"/>
      <c r="F50" s="25"/>
    </row>
    <row r="51" spans="1:6" ht="16.5" thickTop="1" thickBot="1" x14ac:dyDescent="0.3">
      <c r="A51" s="30">
        <v>36</v>
      </c>
      <c r="B51" s="30" t="s">
        <v>14</v>
      </c>
      <c r="C51" s="54" t="s">
        <v>11</v>
      </c>
      <c r="D51" s="48">
        <v>2</v>
      </c>
      <c r="E51" s="25"/>
      <c r="F51" s="25"/>
    </row>
    <row r="52" spans="1:6" ht="16.5" thickTop="1" thickBot="1" x14ac:dyDescent="0.3">
      <c r="A52" s="30">
        <v>37</v>
      </c>
      <c r="B52" s="30" t="s">
        <v>14</v>
      </c>
      <c r="C52" s="54" t="s">
        <v>13</v>
      </c>
      <c r="D52" s="48">
        <v>5</v>
      </c>
      <c r="E52" s="25"/>
      <c r="F52" s="25"/>
    </row>
    <row r="53" spans="1:6" ht="16.5" thickTop="1" thickBot="1" x14ac:dyDescent="0.3">
      <c r="A53" s="30">
        <v>38</v>
      </c>
      <c r="B53" s="30" t="s">
        <v>14</v>
      </c>
      <c r="C53" s="54" t="s">
        <v>15</v>
      </c>
      <c r="D53" s="48">
        <v>5</v>
      </c>
      <c r="E53" s="25"/>
      <c r="F53" s="25"/>
    </row>
    <row r="54" spans="1:6" ht="16.5" thickTop="1" thickBot="1" x14ac:dyDescent="0.3">
      <c r="A54" s="30">
        <v>39</v>
      </c>
      <c r="B54" s="30" t="s">
        <v>15</v>
      </c>
      <c r="C54" s="54" t="s">
        <v>11</v>
      </c>
      <c r="D54" s="48">
        <v>7</v>
      </c>
      <c r="E54" s="25"/>
      <c r="F54" s="25"/>
    </row>
    <row r="55" spans="1:6" ht="16.5" thickTop="1" thickBot="1" x14ac:dyDescent="0.3">
      <c r="A55" s="30">
        <v>40</v>
      </c>
      <c r="B55" s="30" t="s">
        <v>15</v>
      </c>
      <c r="C55" s="54" t="s">
        <v>12</v>
      </c>
      <c r="D55" s="48">
        <v>2</v>
      </c>
      <c r="E55" s="25"/>
      <c r="F55" s="25"/>
    </row>
    <row r="56" spans="1:6" ht="16.5" thickTop="1" thickBot="1" x14ac:dyDescent="0.3">
      <c r="A56" s="30">
        <v>41</v>
      </c>
      <c r="B56" s="30" t="s">
        <v>15</v>
      </c>
      <c r="C56" s="54" t="s">
        <v>14</v>
      </c>
      <c r="D56" s="48">
        <v>5</v>
      </c>
      <c r="E56" s="25"/>
      <c r="F56" s="25"/>
    </row>
    <row r="57" spans="1:6" ht="15.75" thickTop="1" x14ac:dyDescent="0.25"/>
  </sheetData>
  <mergeCells count="7">
    <mergeCell ref="I21:K21"/>
    <mergeCell ref="I27:O27"/>
    <mergeCell ref="B14:C14"/>
    <mergeCell ref="H9:L9"/>
    <mergeCell ref="K3:M3"/>
    <mergeCell ref="I12:K12"/>
    <mergeCell ref="I18:O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GetMatrixC">
                <anchor moveWithCells="1" sizeWithCells="1">
                  <from>
                    <xdr:col>9</xdr:col>
                    <xdr:colOff>571500</xdr:colOff>
                    <xdr:row>6</xdr:row>
                    <xdr:rowOff>95250</xdr:rowOff>
                  </from>
                  <to>
                    <xdr:col>12</xdr:col>
                    <xdr:colOff>0</xdr:colOff>
                    <xdr:row>7</xdr:row>
                    <xdr:rowOff>152400</xdr:rowOff>
                  </to>
                </anchor>
              </controlPr>
            </control>
          </mc:Choice>
        </mc:AlternateContent>
        <mc:AlternateContent xmlns:mc="http://schemas.openxmlformats.org/markup-compatibility/2006">
          <mc:Choice Requires="x14">
            <control shapeId="3076" r:id="rId4" name="Button 4">
              <controlPr defaultSize="0" print="0" autoFill="0" autoPict="0" macro="[0]!OCGM">
                <anchor moveWithCells="1" sizeWithCells="1">
                  <from>
                    <xdr:col>12</xdr:col>
                    <xdr:colOff>314325</xdr:colOff>
                    <xdr:row>12</xdr:row>
                    <xdr:rowOff>0</xdr:rowOff>
                  </from>
                  <to>
                    <xdr:col>14</xdr:col>
                    <xdr:colOff>76200</xdr:colOff>
                    <xdr:row>13</xdr:row>
                    <xdr:rowOff>114300</xdr:rowOff>
                  </to>
                </anchor>
              </controlPr>
            </control>
          </mc:Choice>
        </mc:AlternateContent>
        <mc:AlternateContent xmlns:mc="http://schemas.openxmlformats.org/markup-compatibility/2006">
          <mc:Choice Requires="x14">
            <control shapeId="3077" r:id="rId5" name="Button 5">
              <controlPr defaultSize="0" print="0" autoFill="0" autoPict="0" macro="[0]!AsignarFlujosOC">
                <anchor moveWithCells="1" sizeWithCells="1">
                  <from>
                    <xdr:col>12</xdr:col>
                    <xdr:colOff>314325</xdr:colOff>
                    <xdr:row>14</xdr:row>
                    <xdr:rowOff>76200</xdr:rowOff>
                  </from>
                  <to>
                    <xdr:col>14</xdr:col>
                    <xdr:colOff>95250</xdr:colOff>
                    <xdr:row>15</xdr:row>
                    <xdr:rowOff>152400</xdr:rowOff>
                  </to>
                </anchor>
              </controlPr>
            </control>
          </mc:Choice>
        </mc:AlternateContent>
        <mc:AlternateContent xmlns:mc="http://schemas.openxmlformats.org/markup-compatibility/2006">
          <mc:Choice Requires="x14">
            <control shapeId="3078" r:id="rId6" name="Button 6">
              <controlPr defaultSize="0" print="0" autoFill="0" autoPict="0" macro="[0]!DCGM">
                <anchor moveWithCells="1" sizeWithCells="1">
                  <from>
                    <xdr:col>12</xdr:col>
                    <xdr:colOff>314325</xdr:colOff>
                    <xdr:row>21</xdr:row>
                    <xdr:rowOff>0</xdr:rowOff>
                  </from>
                  <to>
                    <xdr:col>14</xdr:col>
                    <xdr:colOff>76200</xdr:colOff>
                    <xdr:row>22</xdr:row>
                    <xdr:rowOff>114300</xdr:rowOff>
                  </to>
                </anchor>
              </controlPr>
            </control>
          </mc:Choice>
        </mc:AlternateContent>
        <mc:AlternateContent xmlns:mc="http://schemas.openxmlformats.org/markup-compatibility/2006">
          <mc:Choice Requires="x14">
            <control shapeId="3079" r:id="rId7" name="Button 7">
              <controlPr defaultSize="0" print="0" autoFill="0" autoPict="0" macro="[0]!AsignarFlujosDC">
                <anchor moveWithCells="1" sizeWithCells="1">
                  <from>
                    <xdr:col>12</xdr:col>
                    <xdr:colOff>314325</xdr:colOff>
                    <xdr:row>23</xdr:row>
                    <xdr:rowOff>76200</xdr:rowOff>
                  </from>
                  <to>
                    <xdr:col>14</xdr:col>
                    <xdr:colOff>95250</xdr:colOff>
                    <xdr:row>24</xdr:row>
                    <xdr:rowOff>152400</xdr:rowOff>
                  </to>
                </anchor>
              </controlPr>
            </control>
          </mc:Choice>
        </mc:AlternateContent>
        <mc:AlternateContent xmlns:mc="http://schemas.openxmlformats.org/markup-compatibility/2006">
          <mc:Choice Requires="x14">
            <control shapeId="3082" r:id="rId8" name="Button 10">
              <controlPr defaultSize="0" print="0" autoFill="0" autoPict="0" macro="[0]!Clean2">
                <anchor moveWithCells="1" sizeWithCells="1">
                  <from>
                    <xdr:col>4</xdr:col>
                    <xdr:colOff>1181100</xdr:colOff>
                    <xdr:row>8</xdr:row>
                    <xdr:rowOff>9525</xdr:rowOff>
                  </from>
                  <to>
                    <xdr:col>5</xdr:col>
                    <xdr:colOff>819150</xdr:colOff>
                    <xdr:row>9</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Q20"/>
  <sheetViews>
    <sheetView workbookViewId="0">
      <selection activeCell="C5" sqref="C5"/>
    </sheetView>
  </sheetViews>
  <sheetFormatPr baseColWidth="10" defaultColWidth="9.140625" defaultRowHeight="15" x14ac:dyDescent="0.25"/>
  <cols>
    <col min="1" max="1" width="6" style="28" bestFit="1" customWidth="1"/>
    <col min="2" max="3" width="9.140625" style="28"/>
    <col min="4" max="4" width="10.140625" style="28" bestFit="1" customWidth="1"/>
    <col min="5" max="5" width="12.7109375" style="28" bestFit="1" customWidth="1"/>
    <col min="6" max="7" width="9.140625" style="28"/>
    <col min="8" max="8" width="11.28515625" style="28" bestFit="1" customWidth="1"/>
    <col min="9" max="16384" width="9.140625" style="28"/>
  </cols>
  <sheetData>
    <row r="2" spans="1:17" x14ac:dyDescent="0.25">
      <c r="G2" s="44" t="s">
        <v>60</v>
      </c>
      <c r="H2" s="44" t="s">
        <v>54</v>
      </c>
    </row>
    <row r="3" spans="1:17" x14ac:dyDescent="0.25">
      <c r="C3" s="28">
        <v>2</v>
      </c>
      <c r="G3" s="44" t="s">
        <v>51</v>
      </c>
      <c r="H3" s="48" t="s">
        <v>59</v>
      </c>
      <c r="K3" s="117" t="s">
        <v>61</v>
      </c>
      <c r="L3" s="117"/>
      <c r="M3" s="117"/>
      <c r="N3" s="117"/>
      <c r="O3" s="117"/>
      <c r="P3" s="117"/>
      <c r="Q3" s="117"/>
    </row>
    <row r="4" spans="1:17" x14ac:dyDescent="0.25">
      <c r="G4" s="48" t="s">
        <v>4</v>
      </c>
      <c r="H4" s="48">
        <v>100</v>
      </c>
      <c r="Q4" s="27"/>
    </row>
    <row r="5" spans="1:17" x14ac:dyDescent="0.25">
      <c r="G5" s="48" t="s">
        <v>5</v>
      </c>
      <c r="H5" s="48">
        <v>500</v>
      </c>
    </row>
    <row r="8" spans="1:17" x14ac:dyDescent="0.25">
      <c r="K8" s="118" t="s">
        <v>68</v>
      </c>
      <c r="L8" s="118"/>
      <c r="M8" s="118"/>
      <c r="N8" s="118"/>
    </row>
    <row r="10" spans="1:17" x14ac:dyDescent="0.25">
      <c r="K10" s="29" t="s">
        <v>62</v>
      </c>
    </row>
    <row r="11" spans="1:17" x14ac:dyDescent="0.25">
      <c r="K11" s="64"/>
      <c r="L11" s="53" t="s">
        <v>63</v>
      </c>
      <c r="M11" s="53" t="s">
        <v>64</v>
      </c>
      <c r="N11" s="48">
        <v>0.5</v>
      </c>
    </row>
    <row r="12" spans="1:17" x14ac:dyDescent="0.25">
      <c r="F12" s="85" t="s">
        <v>39</v>
      </c>
      <c r="G12" s="85"/>
      <c r="H12" s="85" t="s">
        <v>40</v>
      </c>
      <c r="I12" s="85"/>
      <c r="K12" s="64"/>
      <c r="L12" s="53" t="s">
        <v>65</v>
      </c>
      <c r="M12" s="53" t="s">
        <v>64</v>
      </c>
      <c r="N12" s="53" t="s">
        <v>66</v>
      </c>
    </row>
    <row r="13" spans="1:17" ht="15.75" thickBot="1" x14ac:dyDescent="0.3">
      <c r="A13" s="39" t="s">
        <v>26</v>
      </c>
      <c r="B13" s="85" t="s">
        <v>1</v>
      </c>
      <c r="C13" s="85"/>
      <c r="D13" s="39" t="s">
        <v>33</v>
      </c>
      <c r="E13" s="39" t="s">
        <v>34</v>
      </c>
      <c r="F13" s="39" t="s">
        <v>21</v>
      </c>
      <c r="G13" s="39" t="s">
        <v>35</v>
      </c>
      <c r="H13" s="39" t="s">
        <v>21</v>
      </c>
      <c r="I13" s="39" t="s">
        <v>35</v>
      </c>
    </row>
    <row r="14" spans="1:17" ht="16.5" thickTop="1" thickBot="1" x14ac:dyDescent="0.3">
      <c r="A14" s="30">
        <v>0</v>
      </c>
      <c r="B14" s="30" t="s">
        <v>4</v>
      </c>
      <c r="C14" s="54" t="s">
        <v>6</v>
      </c>
      <c r="D14" s="48">
        <v>1</v>
      </c>
      <c r="E14" s="48">
        <v>1E-3</v>
      </c>
      <c r="F14" s="11"/>
      <c r="G14" s="11"/>
      <c r="H14" s="11"/>
      <c r="I14" s="11"/>
      <c r="K14" s="29" t="s">
        <v>67</v>
      </c>
    </row>
    <row r="15" spans="1:17" ht="16.5" thickTop="1" thickBot="1" x14ac:dyDescent="0.3">
      <c r="A15" s="30">
        <v>1</v>
      </c>
      <c r="B15" s="30" t="s">
        <v>5</v>
      </c>
      <c r="C15" s="54" t="s">
        <v>7</v>
      </c>
      <c r="D15" s="48">
        <v>1</v>
      </c>
      <c r="E15" s="48">
        <v>1E-3</v>
      </c>
      <c r="F15" s="11"/>
      <c r="G15" s="11"/>
      <c r="H15" s="11"/>
      <c r="I15" s="11"/>
      <c r="K15" s="51" t="s">
        <v>48</v>
      </c>
      <c r="L15" s="65">
        <v>0.01</v>
      </c>
    </row>
    <row r="16" spans="1:17" ht="16.5" thickTop="1" thickBot="1" x14ac:dyDescent="0.3">
      <c r="A16" s="30">
        <v>2</v>
      </c>
      <c r="B16" s="30" t="s">
        <v>6</v>
      </c>
      <c r="C16" s="54" t="s">
        <v>8</v>
      </c>
      <c r="D16" s="48">
        <v>2</v>
      </c>
      <c r="E16" s="48">
        <v>0.01</v>
      </c>
      <c r="F16" s="11"/>
      <c r="G16" s="11"/>
      <c r="H16" s="11"/>
      <c r="I16" s="11"/>
    </row>
    <row r="17" spans="1:16" ht="16.5" thickTop="1" thickBot="1" x14ac:dyDescent="0.3">
      <c r="A17" s="30">
        <v>3</v>
      </c>
      <c r="B17" s="30" t="s">
        <v>7</v>
      </c>
      <c r="C17" s="54" t="s">
        <v>6</v>
      </c>
      <c r="D17" s="48">
        <v>3.4</v>
      </c>
      <c r="E17" s="48">
        <v>1E-3</v>
      </c>
      <c r="F17" s="11"/>
      <c r="G17" s="11"/>
      <c r="H17" s="11"/>
      <c r="I17" s="11"/>
    </row>
    <row r="18" spans="1:16" ht="16.5" thickTop="1" thickBot="1" x14ac:dyDescent="0.3">
      <c r="A18" s="30">
        <v>4</v>
      </c>
      <c r="B18" s="30" t="s">
        <v>7</v>
      </c>
      <c r="C18" s="54" t="s">
        <v>8</v>
      </c>
      <c r="D18" s="48">
        <v>12</v>
      </c>
      <c r="E18" s="48">
        <v>1E-3</v>
      </c>
      <c r="F18" s="11"/>
      <c r="G18" s="11"/>
      <c r="H18" s="11"/>
      <c r="I18" s="11"/>
    </row>
    <row r="19" spans="1:16" ht="16.5" thickTop="1" thickBot="1" x14ac:dyDescent="0.3">
      <c r="A19" s="30">
        <v>5</v>
      </c>
      <c r="B19" s="30" t="s">
        <v>8</v>
      </c>
      <c r="C19" s="54" t="s">
        <v>59</v>
      </c>
      <c r="D19" s="48">
        <v>0</v>
      </c>
      <c r="E19" s="48">
        <v>0</v>
      </c>
      <c r="F19" s="11"/>
      <c r="G19" s="11"/>
      <c r="H19" s="11"/>
      <c r="I19" s="11"/>
      <c r="K19" s="118" t="s">
        <v>69</v>
      </c>
      <c r="L19" s="118"/>
      <c r="M19" s="118"/>
      <c r="N19" s="118"/>
      <c r="O19" s="118"/>
      <c r="P19" s="26"/>
    </row>
    <row r="20" spans="1:16" ht="15.75" thickTop="1" x14ac:dyDescent="0.25"/>
  </sheetData>
  <mergeCells count="6">
    <mergeCell ref="K3:Q3"/>
    <mergeCell ref="K19:O19"/>
    <mergeCell ref="B13:C13"/>
    <mergeCell ref="F12:G12"/>
    <mergeCell ref="H12:I12"/>
    <mergeCell ref="K8:N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lean3">
                <anchor moveWithCells="1" sizeWithCells="1">
                  <from>
                    <xdr:col>6</xdr:col>
                    <xdr:colOff>209550</xdr:colOff>
                    <xdr:row>7</xdr:row>
                    <xdr:rowOff>9525</xdr:rowOff>
                  </from>
                  <to>
                    <xdr:col>7</xdr:col>
                    <xdr:colOff>533400</xdr:colOff>
                    <xdr:row>8</xdr:row>
                    <xdr:rowOff>104775</xdr:rowOff>
                  </to>
                </anchor>
              </controlPr>
            </control>
          </mc:Choice>
        </mc:AlternateContent>
        <mc:AlternateContent xmlns:mc="http://schemas.openxmlformats.org/markup-compatibility/2006">
          <mc:Choice Requires="x14">
            <control shapeId="4098" r:id="rId4" name="Button 2">
              <controlPr defaultSize="0" print="0" autoFill="0" autoPict="0" macro="[0]!IncrementalLoadingTechniqueP3">
                <anchor moveWithCells="1" sizeWithCells="1">
                  <from>
                    <xdr:col>10</xdr:col>
                    <xdr:colOff>9525</xdr:colOff>
                    <xdr:row>3</xdr:row>
                    <xdr:rowOff>76200</xdr:rowOff>
                  </from>
                  <to>
                    <xdr:col>14</xdr:col>
                    <xdr:colOff>9525</xdr:colOff>
                    <xdr:row>4</xdr:row>
                    <xdr:rowOff>142875</xdr:rowOff>
                  </to>
                </anchor>
              </controlPr>
            </control>
          </mc:Choice>
        </mc:AlternateContent>
        <mc:AlternateContent xmlns:mc="http://schemas.openxmlformats.org/markup-compatibility/2006">
          <mc:Choice Requires="x14">
            <control shapeId="4099" r:id="rId5" name="Option Button 3">
              <controlPr defaultSize="0" autoFill="0" autoLine="0" autoPict="0">
                <anchor moveWithCells="1">
                  <from>
                    <xdr:col>10</xdr:col>
                    <xdr:colOff>228600</xdr:colOff>
                    <xdr:row>9</xdr:row>
                    <xdr:rowOff>180975</xdr:rowOff>
                  </from>
                  <to>
                    <xdr:col>10</xdr:col>
                    <xdr:colOff>533400</xdr:colOff>
                    <xdr:row>11</xdr:row>
                    <xdr:rowOff>19050</xdr:rowOff>
                  </to>
                </anchor>
              </controlPr>
            </control>
          </mc:Choice>
        </mc:AlternateContent>
        <mc:AlternateContent xmlns:mc="http://schemas.openxmlformats.org/markup-compatibility/2006">
          <mc:Choice Requires="x14">
            <control shapeId="4100" r:id="rId6" name="Option Button 4">
              <controlPr defaultSize="0" autoFill="0" autoLine="0" autoPict="0">
                <anchor moveWithCells="1">
                  <from>
                    <xdr:col>10</xdr:col>
                    <xdr:colOff>228600</xdr:colOff>
                    <xdr:row>10</xdr:row>
                    <xdr:rowOff>171450</xdr:rowOff>
                  </from>
                  <to>
                    <xdr:col>10</xdr:col>
                    <xdr:colOff>533400</xdr:colOff>
                    <xdr:row>12</xdr:row>
                    <xdr:rowOff>9525</xdr:rowOff>
                  </to>
                </anchor>
              </controlPr>
            </control>
          </mc:Choice>
        </mc:AlternateContent>
        <mc:AlternateContent xmlns:mc="http://schemas.openxmlformats.org/markup-compatibility/2006">
          <mc:Choice Requires="x14">
            <control shapeId="4101" r:id="rId7" name="Button 5">
              <controlPr defaultSize="0" print="0" autoFill="0" autoPict="0" macro="[0]!SuccessiveAveragesMethod3">
                <anchor moveWithCells="1" sizeWithCells="1">
                  <from>
                    <xdr:col>10</xdr:col>
                    <xdr:colOff>0</xdr:colOff>
                    <xdr:row>16</xdr:row>
                    <xdr:rowOff>9525</xdr:rowOff>
                  </from>
                  <to>
                    <xdr:col>13</xdr:col>
                    <xdr:colOff>438150</xdr:colOff>
                    <xdr:row>17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Instructions</vt:lpstr>
      <vt:lpstr>1- a &amp; b</vt:lpstr>
      <vt:lpstr>1 - c &amp; d</vt:lpstr>
      <vt:lpstr>2</vt:lpstr>
      <vt:lpstr>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Francisco</dc:creator>
  <cp:lastModifiedBy>Jos</cp:lastModifiedBy>
  <dcterms:created xsi:type="dcterms:W3CDTF">2012-05-16T19:06:47Z</dcterms:created>
  <dcterms:modified xsi:type="dcterms:W3CDTF">2012-08-17T17:49:04Z</dcterms:modified>
</cp:coreProperties>
</file>